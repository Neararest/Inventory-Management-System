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2.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3.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D:\Study Kuliah\"/>
    </mc:Choice>
  </mc:AlternateContent>
  <xr:revisionPtr revIDLastSave="0" documentId="13_ncr:1_{35763CBE-48BB-473E-9E7C-EEEF8B3EB0DE}" xr6:coauthVersionLast="47" xr6:coauthVersionMax="47" xr10:uidLastSave="{00000000-0000-0000-0000-000000000000}"/>
  <bookViews>
    <workbookView xWindow="-108" yWindow="-108" windowWidth="23256" windowHeight="13176" tabRatio="583" xr2:uid="{E8A4B9CD-9253-47FF-BFAF-04FE0E6DBCC7}"/>
  </bookViews>
  <sheets>
    <sheet name="Home" sheetId="5" r:id="rId1"/>
    <sheet name="Transaksi" sheetId="3" r:id="rId2"/>
    <sheet name="Stok Akhir" sheetId="4" r:id="rId3"/>
    <sheet name="Master Barang" sheetId="1" r:id="rId4"/>
    <sheet name="Search" sheetId="9" r:id="rId5"/>
    <sheet name="Dapur" sheetId="10" state="hidden" r:id="rId6"/>
  </sheets>
  <definedNames>
    <definedName name="_xlcn.WorksheetConnection_CopyofInventoryManagement.xlsmTblStokAkhir1" hidden="1">TblStokAkhir[]</definedName>
    <definedName name="_xlcn.WorksheetConnection_InventoryManagement2.xlsxTblTransaksi1" hidden="1">TblTransaksi[]</definedName>
    <definedName name="_xlcn.WorksheetConnection_Table_Barang1" hidden="1">Table_Barang[]</definedName>
    <definedName name="Arsip">Dapur!$K$2:$K$4</definedName>
    <definedName name="ATK">Dapur!$G$2:$G$4</definedName>
    <definedName name="Elektronik">Dapur!$H$2:$H$4</definedName>
    <definedName name="Kebersihan">Dapur!$I$2:$I$4</definedName>
    <definedName name="Lainnya">Dapur!$L$2:$L$4</definedName>
    <definedName name="Pemotong_Kategori">#N/A</definedName>
    <definedName name="Pemotong_Satuan">#N/A</definedName>
    <definedName name="Perabotam">Dapur!$J$2:$J$4</definedName>
    <definedName name="Perabotan">Dapur!$J$2:$J$4</definedName>
    <definedName name="Slicer_Jenis_Transaksi">#N/A</definedName>
    <definedName name="Slicer_Jenis_Transaksi1">#N/A</definedName>
    <definedName name="Slicer_Kategori">#N/A</definedName>
    <definedName name="Slicer_Nama_Barang">#N/A</definedName>
    <definedName name="Slicer_Status">#N/A</definedName>
    <definedName name="Slicer_Status1">#N/A</definedName>
  </definedNames>
  <calcPr calcId="181029"/>
  <pivotCaches>
    <pivotCache cacheId="0" r:id="rId7"/>
    <pivotCache cacheId="43" r:id="rId8"/>
    <pivotCache cacheId="46" r:id="rId9"/>
  </pivotCaches>
  <extLst>
    <ext xmlns:x14="http://schemas.microsoft.com/office/spreadsheetml/2009/9/main" uri="{876F7934-8845-4945-9796-88D515C7AA90}">
      <x14:pivotCaches>
        <pivotCache cacheId="42" r:id="rId10"/>
      </x14:pivotCaches>
    </ex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4:slicerCache r:id="rId18"/>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Barang" name="Table_Barang" connection="WorksheetConnection_Table_Barang"/>
          <x15:modelTable id="TblTransaksi" name="TblTransaksi" connection="WorksheetConnection_Inventory Management 2.xlsx!TblTransaksi"/>
          <x15:modelTable id="TblStokAkhir" name="TblStokAkhir" connection="WorksheetConnection_Copy of Inventory Management.xlsm!TblStokAkhir"/>
        </x15:modelTables>
        <x15:modelRelationships>
          <x15:modelRelationship fromTable="TblTransaksi" fromColumn="Kode Barang" toTable="Table_Barang" toColumn="Kode Barang"/>
          <x15:modelRelationship fromTable="TblStokAkhir" fromColumn="Kode Barang" toTable="Table_Barang" toColumn="Kode Barang"/>
        </x15:modelRelationships>
      </x15:dataModel>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0" i="10" l="1"/>
  <c r="B20" i="10"/>
  <c r="A20" i="10"/>
  <c r="B17" i="10"/>
  <c r="A17" i="10"/>
  <c r="E2" i="10"/>
  <c r="C14" i="10"/>
  <c r="B14" i="10"/>
  <c r="A14" i="10"/>
  <c r="A11" i="10"/>
  <c r="F118" i="10"/>
  <c r="J118" i="10" s="1"/>
  <c r="F119" i="10"/>
  <c r="N119" i="10" s="1"/>
  <c r="F120" i="10"/>
  <c r="I120" i="10" s="1"/>
  <c r="F121" i="10"/>
  <c r="G121" i="10" s="1"/>
  <c r="F122" i="10"/>
  <c r="G122" i="10" s="1"/>
  <c r="F123" i="10"/>
  <c r="G123" i="10" s="1"/>
  <c r="F124" i="10"/>
  <c r="G124" i="10" s="1"/>
  <c r="F125" i="10"/>
  <c r="G125" i="10" s="1"/>
  <c r="F126" i="10"/>
  <c r="G126" i="10" s="1"/>
  <c r="F127" i="10"/>
  <c r="G127" i="10" s="1"/>
  <c r="F128" i="10"/>
  <c r="J128" i="10" s="1"/>
  <c r="F129" i="10"/>
  <c r="G129" i="10" s="1"/>
  <c r="F130" i="10"/>
  <c r="G130" i="10" s="1"/>
  <c r="F131" i="10"/>
  <c r="G131" i="10" s="1"/>
  <c r="F132" i="10"/>
  <c r="G132" i="10" s="1"/>
  <c r="F133" i="10"/>
  <c r="I133" i="10" s="1"/>
  <c r="F134" i="10"/>
  <c r="H134" i="10" s="1"/>
  <c r="F135" i="10"/>
  <c r="I135" i="10" s="1"/>
  <c r="F136" i="10"/>
  <c r="K136" i="10" s="1"/>
  <c r="F137" i="10"/>
  <c r="G137" i="10" s="1"/>
  <c r="F138" i="10"/>
  <c r="G138" i="10" s="1"/>
  <c r="F139" i="10"/>
  <c r="G139" i="10" s="1"/>
  <c r="F140" i="10"/>
  <c r="G140" i="10" s="1"/>
  <c r="F141" i="10"/>
  <c r="G141" i="10" s="1"/>
  <c r="F142" i="10"/>
  <c r="J142" i="10" s="1"/>
  <c r="F143" i="10"/>
  <c r="J143" i="10" s="1"/>
  <c r="F144" i="10"/>
  <c r="G144" i="10" s="1"/>
  <c r="F145" i="10"/>
  <c r="M145" i="10" s="1"/>
  <c r="F146" i="10"/>
  <c r="G146" i="10" s="1"/>
  <c r="F147" i="10"/>
  <c r="G147" i="10" s="1"/>
  <c r="F148" i="10"/>
  <c r="G148" i="10" s="1"/>
  <c r="F149" i="10"/>
  <c r="G149" i="10" s="1"/>
  <c r="F150" i="10"/>
  <c r="H150" i="10" s="1"/>
  <c r="F151" i="10"/>
  <c r="K151" i="10" s="1"/>
  <c r="F152" i="10"/>
  <c r="K152" i="10" s="1"/>
  <c r="F153" i="10"/>
  <c r="G153" i="10" s="1"/>
  <c r="F154" i="10"/>
  <c r="G154" i="10" s="1"/>
  <c r="F155" i="10"/>
  <c r="G155" i="10" s="1"/>
  <c r="F156" i="10"/>
  <c r="G156" i="10" s="1"/>
  <c r="F157" i="10"/>
  <c r="O157" i="10" s="1"/>
  <c r="F158" i="10"/>
  <c r="G158" i="10" s="1"/>
  <c r="F159" i="10"/>
  <c r="G159" i="10" s="1"/>
  <c r="F160" i="10"/>
  <c r="I160" i="10" s="1"/>
  <c r="F161" i="10"/>
  <c r="G161" i="10" s="1"/>
  <c r="F162" i="10"/>
  <c r="G162" i="10" s="1"/>
  <c r="F163" i="10"/>
  <c r="G163" i="10" s="1"/>
  <c r="F164" i="10"/>
  <c r="G164" i="10" s="1"/>
  <c r="F165" i="10"/>
  <c r="G165" i="10" s="1"/>
  <c r="F166" i="10"/>
  <c r="H166" i="10" s="1"/>
  <c r="F167" i="10"/>
  <c r="I167" i="10" s="1"/>
  <c r="F168" i="10"/>
  <c r="L168" i="10" s="1"/>
  <c r="F169" i="10"/>
  <c r="G169" i="10" s="1"/>
  <c r="F115" i="10"/>
  <c r="H115" i="10" s="1"/>
  <c r="F116" i="10"/>
  <c r="L116" i="10" s="1"/>
  <c r="F117" i="10"/>
  <c r="H117" i="10" s="1"/>
  <c r="F12" i="10"/>
  <c r="J12" i="10" s="1"/>
  <c r="F13" i="10"/>
  <c r="M13" i="10" s="1"/>
  <c r="F14" i="10"/>
  <c r="G14" i="10" s="1"/>
  <c r="F15" i="10"/>
  <c r="O15" i="10" s="1"/>
  <c r="F16" i="10"/>
  <c r="K16" i="10" s="1"/>
  <c r="F17" i="10"/>
  <c r="O17" i="10" s="1"/>
  <c r="F18" i="10"/>
  <c r="N18" i="10" s="1"/>
  <c r="F19" i="10"/>
  <c r="N19" i="10" s="1"/>
  <c r="F20" i="10"/>
  <c r="M20" i="10" s="1"/>
  <c r="F21" i="10"/>
  <c r="I21" i="10" s="1"/>
  <c r="F22" i="10"/>
  <c r="K22" i="10" s="1"/>
  <c r="F23" i="10"/>
  <c r="O23" i="10" s="1"/>
  <c r="F24" i="10"/>
  <c r="H24" i="10" s="1"/>
  <c r="F25" i="10"/>
  <c r="K25" i="10" s="1"/>
  <c r="F26" i="10"/>
  <c r="K26" i="10" s="1"/>
  <c r="F27" i="10"/>
  <c r="I27" i="10" s="1"/>
  <c r="F28" i="10"/>
  <c r="N28" i="10" s="1"/>
  <c r="F29" i="10"/>
  <c r="K29" i="10" s="1"/>
  <c r="F30" i="10"/>
  <c r="I30" i="10" s="1"/>
  <c r="F31" i="10"/>
  <c r="L31" i="10" s="1"/>
  <c r="F32" i="10"/>
  <c r="G32" i="10" s="1"/>
  <c r="F33" i="10"/>
  <c r="L33" i="10" s="1"/>
  <c r="F34" i="10"/>
  <c r="O34" i="10" s="1"/>
  <c r="F35" i="10"/>
  <c r="I35" i="10" s="1"/>
  <c r="F36" i="10"/>
  <c r="I36" i="10" s="1"/>
  <c r="F37" i="10"/>
  <c r="N37" i="10" s="1"/>
  <c r="F38" i="10"/>
  <c r="L38" i="10" s="1"/>
  <c r="F39" i="10"/>
  <c r="J39" i="10" s="1"/>
  <c r="F40" i="10"/>
  <c r="L40" i="10" s="1"/>
  <c r="F41" i="10"/>
  <c r="K41" i="10" s="1"/>
  <c r="F42" i="10"/>
  <c r="I42" i="10" s="1"/>
  <c r="F43" i="10"/>
  <c r="H43" i="10" s="1"/>
  <c r="F44" i="10"/>
  <c r="N44" i="10" s="1"/>
  <c r="F45" i="10"/>
  <c r="H45" i="10" s="1"/>
  <c r="F46" i="10"/>
  <c r="I46" i="10" s="1"/>
  <c r="F47" i="10"/>
  <c r="I47" i="10" s="1"/>
  <c r="F48" i="10"/>
  <c r="I48" i="10" s="1"/>
  <c r="F49" i="10"/>
  <c r="I49" i="10" s="1"/>
  <c r="F50" i="10"/>
  <c r="G50" i="10" s="1"/>
  <c r="F51" i="10"/>
  <c r="N51" i="10" s="1"/>
  <c r="F52" i="10"/>
  <c r="I52" i="10" s="1"/>
  <c r="F53" i="10"/>
  <c r="I53" i="10" s="1"/>
  <c r="F54" i="10"/>
  <c r="M54" i="10" s="1"/>
  <c r="F55" i="10"/>
  <c r="M55" i="10" s="1"/>
  <c r="F56" i="10"/>
  <c r="H56" i="10" s="1"/>
  <c r="F57" i="10"/>
  <c r="O57" i="10" s="1"/>
  <c r="F58" i="10"/>
  <c r="N58" i="10" s="1"/>
  <c r="F59" i="10"/>
  <c r="H59" i="10" s="1"/>
  <c r="F60" i="10"/>
  <c r="M60" i="10" s="1"/>
  <c r="F61" i="10"/>
  <c r="K61" i="10" s="1"/>
  <c r="F62" i="10"/>
  <c r="K62" i="10" s="1"/>
  <c r="F63" i="10"/>
  <c r="K63" i="10" s="1"/>
  <c r="F64" i="10"/>
  <c r="J64" i="10" s="1"/>
  <c r="F65" i="10"/>
  <c r="G65" i="10" s="1"/>
  <c r="F66" i="10"/>
  <c r="I66" i="10" s="1"/>
  <c r="F67" i="10"/>
  <c r="O67" i="10" s="1"/>
  <c r="F68" i="10"/>
  <c r="I68" i="10" s="1"/>
  <c r="F69" i="10"/>
  <c r="H69" i="10" s="1"/>
  <c r="F70" i="10"/>
  <c r="N70" i="10" s="1"/>
  <c r="F71" i="10"/>
  <c r="L71" i="10" s="1"/>
  <c r="F72" i="10"/>
  <c r="K72" i="10" s="1"/>
  <c r="F73" i="10"/>
  <c r="G73" i="10" s="1"/>
  <c r="F74" i="10"/>
  <c r="G74" i="10" s="1"/>
  <c r="F75" i="10"/>
  <c r="N75" i="10" s="1"/>
  <c r="F76" i="10"/>
  <c r="L76" i="10" s="1"/>
  <c r="F77" i="10"/>
  <c r="N77" i="10" s="1"/>
  <c r="F78" i="10"/>
  <c r="M78" i="10" s="1"/>
  <c r="F79" i="10"/>
  <c r="I79" i="10" s="1"/>
  <c r="F80" i="10"/>
  <c r="M80" i="10" s="1"/>
  <c r="F81" i="10"/>
  <c r="L81" i="10" s="1"/>
  <c r="F82" i="10"/>
  <c r="K82" i="10" s="1"/>
  <c r="F83" i="10"/>
  <c r="K83" i="10" s="1"/>
  <c r="F84" i="10"/>
  <c r="L84" i="10" s="1"/>
  <c r="F85" i="10"/>
  <c r="O85" i="10" s="1"/>
  <c r="F86" i="10"/>
  <c r="M86" i="10" s="1"/>
  <c r="F87" i="10"/>
  <c r="M87" i="10" s="1"/>
  <c r="F88" i="10"/>
  <c r="H88" i="10" s="1"/>
  <c r="F89" i="10"/>
  <c r="H89" i="10" s="1"/>
  <c r="F90" i="10"/>
  <c r="N90" i="10" s="1"/>
  <c r="F91" i="10"/>
  <c r="H91" i="10" s="1"/>
  <c r="F92" i="10"/>
  <c r="N92" i="10" s="1"/>
  <c r="F93" i="10"/>
  <c r="I93" i="10" s="1"/>
  <c r="F94" i="10"/>
  <c r="M94" i="10" s="1"/>
  <c r="F95" i="10"/>
  <c r="I95" i="10" s="1"/>
  <c r="F96" i="10"/>
  <c r="G96" i="10" s="1"/>
  <c r="F97" i="10"/>
  <c r="O97" i="10" s="1"/>
  <c r="F98" i="10"/>
  <c r="K98" i="10" s="1"/>
  <c r="F99" i="10"/>
  <c r="G99" i="10" s="1"/>
  <c r="F100" i="10"/>
  <c r="L100" i="10" s="1"/>
  <c r="F101" i="10"/>
  <c r="I101" i="10" s="1"/>
  <c r="F102" i="10"/>
  <c r="K102" i="10" s="1"/>
  <c r="F103" i="10"/>
  <c r="H103" i="10" s="1"/>
  <c r="F104" i="10"/>
  <c r="H104" i="10" s="1"/>
  <c r="F105" i="10"/>
  <c r="H105" i="10" s="1"/>
  <c r="F106" i="10"/>
  <c r="H106" i="10" s="1"/>
  <c r="F107" i="10"/>
  <c r="H107" i="10" s="1"/>
  <c r="F108" i="10"/>
  <c r="J108" i="10" s="1"/>
  <c r="F109" i="10"/>
  <c r="H109" i="10" s="1"/>
  <c r="F110" i="10"/>
  <c r="K110" i="10" s="1"/>
  <c r="F111" i="10"/>
  <c r="L111" i="10" s="1"/>
  <c r="F112" i="10"/>
  <c r="M112" i="10" s="1"/>
  <c r="F113" i="10"/>
  <c r="J113" i="10" s="1"/>
  <c r="F114" i="10"/>
  <c r="J114" i="10" s="1"/>
  <c r="C2" i="10"/>
  <c r="D2" i="10"/>
  <c r="B2" i="10"/>
  <c r="A2" i="10"/>
  <c r="BR28" i="1"/>
  <c r="D14" i="10" l="1"/>
  <c r="G119" i="10"/>
  <c r="O126" i="10"/>
  <c r="G118" i="10"/>
  <c r="N134" i="10"/>
  <c r="G120" i="10"/>
  <c r="N118" i="10"/>
  <c r="M134" i="10"/>
  <c r="K166" i="10"/>
  <c r="K167" i="10"/>
  <c r="K142" i="10"/>
  <c r="O166" i="10"/>
  <c r="J150" i="10"/>
  <c r="N142" i="10"/>
  <c r="J134" i="10"/>
  <c r="J127" i="10"/>
  <c r="M158" i="10"/>
  <c r="I142" i="10"/>
  <c r="L158" i="10"/>
  <c r="I126" i="10"/>
  <c r="L159" i="10"/>
  <c r="O135" i="10"/>
  <c r="N143" i="10"/>
  <c r="L119" i="10"/>
  <c r="I119" i="10"/>
  <c r="M159" i="10"/>
  <c r="K150" i="10"/>
  <c r="H142" i="10"/>
  <c r="O119" i="10"/>
  <c r="M135" i="10"/>
  <c r="H159" i="10"/>
  <c r="N159" i="10"/>
  <c r="K119" i="10"/>
  <c r="H143" i="10"/>
  <c r="L151" i="10"/>
  <c r="J135" i="10"/>
  <c r="M119" i="10"/>
  <c r="I151" i="10"/>
  <c r="H119" i="10"/>
  <c r="N135" i="10"/>
  <c r="M118" i="10"/>
  <c r="K143" i="10"/>
  <c r="I143" i="10"/>
  <c r="G151" i="10"/>
  <c r="K120" i="10"/>
  <c r="H126" i="10"/>
  <c r="O118" i="10"/>
  <c r="L118" i="10"/>
  <c r="K118" i="10"/>
  <c r="I134" i="10"/>
  <c r="O150" i="10"/>
  <c r="N158" i="10"/>
  <c r="M150" i="10"/>
  <c r="L150" i="10"/>
  <c r="J126" i="10"/>
  <c r="H118" i="10"/>
  <c r="O136" i="10"/>
  <c r="I158" i="10"/>
  <c r="I118" i="10"/>
  <c r="G166" i="10"/>
  <c r="G117" i="10"/>
  <c r="O134" i="10"/>
  <c r="J158" i="10"/>
  <c r="I150" i="10"/>
  <c r="H158" i="10"/>
  <c r="G150" i="10"/>
  <c r="K168" i="10"/>
  <c r="I152" i="10"/>
  <c r="M160" i="10"/>
  <c r="G12" i="10"/>
  <c r="J161" i="10"/>
  <c r="O159" i="10"/>
  <c r="N127" i="10"/>
  <c r="L127" i="10"/>
  <c r="K145" i="10"/>
  <c r="J160" i="10"/>
  <c r="J119" i="10"/>
  <c r="G143" i="10"/>
  <c r="O158" i="10"/>
  <c r="N166" i="10"/>
  <c r="N126" i="10"/>
  <c r="M126" i="10"/>
  <c r="L126" i="10"/>
  <c r="K144" i="10"/>
  <c r="J159" i="10"/>
  <c r="I127" i="10"/>
  <c r="H127" i="10"/>
  <c r="G142" i="10"/>
  <c r="N38" i="10"/>
  <c r="N29" i="10"/>
  <c r="N12" i="10"/>
  <c r="K128" i="10"/>
  <c r="G136" i="10"/>
  <c r="N151" i="10"/>
  <c r="L143" i="10"/>
  <c r="K127" i="10"/>
  <c r="H151" i="10"/>
  <c r="G168" i="10"/>
  <c r="G135" i="10"/>
  <c r="G13" i="10"/>
  <c r="O167" i="10"/>
  <c r="O127" i="10"/>
  <c r="N150" i="10"/>
  <c r="M166" i="10"/>
  <c r="M120" i="10"/>
  <c r="L142" i="10"/>
  <c r="K158" i="10"/>
  <c r="K126" i="10"/>
  <c r="J151" i="10"/>
  <c r="I166" i="10"/>
  <c r="I128" i="10"/>
  <c r="G167" i="10"/>
  <c r="G134" i="10"/>
  <c r="J92" i="10"/>
  <c r="O28" i="10"/>
  <c r="K14" i="10"/>
  <c r="O144" i="10"/>
  <c r="N146" i="10"/>
  <c r="M144" i="10"/>
  <c r="L61" i="10"/>
  <c r="O143" i="10"/>
  <c r="N145" i="10"/>
  <c r="M143" i="10"/>
  <c r="L167" i="10"/>
  <c r="L135" i="10"/>
  <c r="K135" i="10"/>
  <c r="J167" i="10"/>
  <c r="I136" i="10"/>
  <c r="H167" i="10"/>
  <c r="H135" i="10"/>
  <c r="J101" i="10"/>
  <c r="K13" i="10"/>
  <c r="G92" i="10"/>
  <c r="M108" i="10"/>
  <c r="O168" i="10"/>
  <c r="O142" i="10"/>
  <c r="N167" i="10"/>
  <c r="N144" i="10"/>
  <c r="M167" i="10"/>
  <c r="M142" i="10"/>
  <c r="L166" i="10"/>
  <c r="L134" i="10"/>
  <c r="K159" i="10"/>
  <c r="K134" i="10"/>
  <c r="J166" i="10"/>
  <c r="I159" i="10"/>
  <c r="J13" i="10"/>
  <c r="M53" i="10"/>
  <c r="I77" i="10"/>
  <c r="K109" i="10"/>
  <c r="M29" i="10"/>
  <c r="I62" i="10"/>
  <c r="H129" i="10"/>
  <c r="G37" i="10"/>
  <c r="K108" i="10"/>
  <c r="M28" i="10"/>
  <c r="O129" i="10"/>
  <c r="N160" i="10"/>
  <c r="J145" i="10"/>
  <c r="H152" i="10"/>
  <c r="H128" i="10"/>
  <c r="G160" i="10"/>
  <c r="G85" i="10"/>
  <c r="H154" i="10"/>
  <c r="G44" i="10"/>
  <c r="H153" i="10"/>
  <c r="G29" i="10"/>
  <c r="K15" i="10"/>
  <c r="N45" i="10"/>
  <c r="O145" i="10"/>
  <c r="O128" i="10"/>
  <c r="M161" i="10"/>
  <c r="M136" i="10"/>
  <c r="J144" i="10"/>
  <c r="L45" i="10"/>
  <c r="M22" i="10"/>
  <c r="O77" i="10"/>
  <c r="I45" i="10"/>
  <c r="N122" i="10"/>
  <c r="H163" i="10"/>
  <c r="G69" i="10"/>
  <c r="N46" i="10"/>
  <c r="I44" i="10"/>
  <c r="K78" i="10"/>
  <c r="L44" i="10"/>
  <c r="M21" i="10"/>
  <c r="O70" i="10"/>
  <c r="N36" i="10"/>
  <c r="N138" i="10"/>
  <c r="H162" i="10"/>
  <c r="G68" i="10"/>
  <c r="I12" i="10"/>
  <c r="K77" i="10"/>
  <c r="L29" i="10"/>
  <c r="M12" i="10"/>
  <c r="O69" i="10"/>
  <c r="O152" i="10"/>
  <c r="N169" i="10"/>
  <c r="N137" i="10"/>
  <c r="N120" i="10"/>
  <c r="J169" i="10"/>
  <c r="J153" i="10"/>
  <c r="J137" i="10"/>
  <c r="I168" i="10"/>
  <c r="I145" i="10"/>
  <c r="H161" i="10"/>
  <c r="G77" i="10"/>
  <c r="N121" i="10"/>
  <c r="G45" i="10"/>
  <c r="J102" i="10"/>
  <c r="K44" i="10"/>
  <c r="L21" i="10"/>
  <c r="N61" i="10"/>
  <c r="O60" i="10"/>
  <c r="O151" i="10"/>
  <c r="N168" i="10"/>
  <c r="N147" i="10"/>
  <c r="N136" i="10"/>
  <c r="M151" i="10"/>
  <c r="M127" i="10"/>
  <c r="K129" i="10"/>
  <c r="J168" i="10"/>
  <c r="J152" i="10"/>
  <c r="J136" i="10"/>
  <c r="I144" i="10"/>
  <c r="H160" i="10"/>
  <c r="H144" i="10"/>
  <c r="L125" i="10"/>
  <c r="L110" i="10"/>
  <c r="O46" i="10"/>
  <c r="L123" i="10"/>
  <c r="H138" i="10"/>
  <c r="G62" i="10"/>
  <c r="O93" i="10"/>
  <c r="O45" i="10"/>
  <c r="N163" i="10"/>
  <c r="N153" i="10"/>
  <c r="N131" i="10"/>
  <c r="L122" i="10"/>
  <c r="K161" i="10"/>
  <c r="H169" i="10"/>
  <c r="H147" i="10"/>
  <c r="H137" i="10"/>
  <c r="H121" i="10"/>
  <c r="K46" i="10"/>
  <c r="N129" i="10"/>
  <c r="H168" i="10"/>
  <c r="H146" i="10"/>
  <c r="H136" i="10"/>
  <c r="H120" i="10"/>
  <c r="N155" i="10"/>
  <c r="L124" i="10"/>
  <c r="H139" i="10"/>
  <c r="N154" i="10"/>
  <c r="J78" i="10"/>
  <c r="K53" i="10"/>
  <c r="L93" i="10"/>
  <c r="G61" i="10"/>
  <c r="I76" i="10"/>
  <c r="J77" i="10"/>
  <c r="L92" i="10"/>
  <c r="M95" i="10"/>
  <c r="N76" i="10"/>
  <c r="O92" i="10"/>
  <c r="O37" i="10"/>
  <c r="I29" i="10"/>
  <c r="O117" i="10"/>
  <c r="N162" i="10"/>
  <c r="N152" i="10"/>
  <c r="M152" i="10"/>
  <c r="L129" i="10"/>
  <c r="L121" i="10"/>
  <c r="K160" i="10"/>
  <c r="G109" i="10"/>
  <c r="G60" i="10"/>
  <c r="I70" i="10"/>
  <c r="J29" i="10"/>
  <c r="K45" i="10"/>
  <c r="L62" i="10"/>
  <c r="M61" i="10"/>
  <c r="N62" i="10"/>
  <c r="O79" i="10"/>
  <c r="O29" i="10"/>
  <c r="O116" i="10"/>
  <c r="N161" i="10"/>
  <c r="N139" i="10"/>
  <c r="N128" i="10"/>
  <c r="M168" i="10"/>
  <c r="L128" i="10"/>
  <c r="L120" i="10"/>
  <c r="I129" i="10"/>
  <c r="H155" i="10"/>
  <c r="H145" i="10"/>
  <c r="G152" i="10"/>
  <c r="L165" i="10"/>
  <c r="L149" i="10"/>
  <c r="L141" i="10"/>
  <c r="K114" i="10"/>
  <c r="N115" i="10"/>
  <c r="L164" i="10"/>
  <c r="L148" i="10"/>
  <c r="L132" i="10"/>
  <c r="J125" i="10"/>
  <c r="J49" i="10"/>
  <c r="L163" i="10"/>
  <c r="L147" i="10"/>
  <c r="L131" i="10"/>
  <c r="J124" i="10"/>
  <c r="J47" i="10"/>
  <c r="M49" i="10"/>
  <c r="L154" i="10"/>
  <c r="L138" i="10"/>
  <c r="J165" i="10"/>
  <c r="J149" i="10"/>
  <c r="J133" i="10"/>
  <c r="J97" i="10"/>
  <c r="K94" i="10"/>
  <c r="I115" i="10"/>
  <c r="N125" i="10"/>
  <c r="L169" i="10"/>
  <c r="L153" i="10"/>
  <c r="J156" i="10"/>
  <c r="J140" i="10"/>
  <c r="J122" i="10"/>
  <c r="H124" i="10"/>
  <c r="G93" i="10"/>
  <c r="I110" i="10"/>
  <c r="J94" i="10"/>
  <c r="J45" i="10"/>
  <c r="K93" i="10"/>
  <c r="K21" i="10"/>
  <c r="L65" i="10"/>
  <c r="L13" i="10"/>
  <c r="M46" i="10"/>
  <c r="N110" i="10"/>
  <c r="N13" i="10"/>
  <c r="O62" i="10"/>
  <c r="O13" i="10"/>
  <c r="I14" i="10"/>
  <c r="O160" i="10"/>
  <c r="N165" i="10"/>
  <c r="N157" i="10"/>
  <c r="N149" i="10"/>
  <c r="N141" i="10"/>
  <c r="N133" i="10"/>
  <c r="N124" i="10"/>
  <c r="M129" i="10"/>
  <c r="L160" i="10"/>
  <c r="L152" i="10"/>
  <c r="L144" i="10"/>
  <c r="L136" i="10"/>
  <c r="J163" i="10"/>
  <c r="J155" i="10"/>
  <c r="J147" i="10"/>
  <c r="J139" i="10"/>
  <c r="J129" i="10"/>
  <c r="J121" i="10"/>
  <c r="H165" i="10"/>
  <c r="H157" i="10"/>
  <c r="H149" i="10"/>
  <c r="H141" i="10"/>
  <c r="H133" i="10"/>
  <c r="H123" i="10"/>
  <c r="G145" i="10"/>
  <c r="G128" i="10"/>
  <c r="N116" i="10"/>
  <c r="L157" i="10"/>
  <c r="L133" i="10"/>
  <c r="L156" i="10"/>
  <c r="L140" i="10"/>
  <c r="M115" i="10"/>
  <c r="L155" i="10"/>
  <c r="L139" i="10"/>
  <c r="M17" i="10"/>
  <c r="I116" i="10"/>
  <c r="L162" i="10"/>
  <c r="L146" i="10"/>
  <c r="J157" i="10"/>
  <c r="J141" i="10"/>
  <c r="J123" i="10"/>
  <c r="H125" i="10"/>
  <c r="G98" i="10"/>
  <c r="J46" i="10"/>
  <c r="M47" i="10"/>
  <c r="O22" i="10"/>
  <c r="O161" i="10"/>
  <c r="L161" i="10"/>
  <c r="L145" i="10"/>
  <c r="L137" i="10"/>
  <c r="J164" i="10"/>
  <c r="J148" i="10"/>
  <c r="J131" i="10"/>
  <c r="I161" i="10"/>
  <c r="G47" i="10"/>
  <c r="J93" i="10"/>
  <c r="J30" i="10"/>
  <c r="K86" i="10"/>
  <c r="K17" i="10"/>
  <c r="L63" i="10"/>
  <c r="M109" i="10"/>
  <c r="M45" i="10"/>
  <c r="N109" i="10"/>
  <c r="I109" i="10"/>
  <c r="I13" i="10"/>
  <c r="O120" i="10"/>
  <c r="N164" i="10"/>
  <c r="N156" i="10"/>
  <c r="N148" i="10"/>
  <c r="N140" i="10"/>
  <c r="N132" i="10"/>
  <c r="N123" i="10"/>
  <c r="M128" i="10"/>
  <c r="J162" i="10"/>
  <c r="J154" i="10"/>
  <c r="J146" i="10"/>
  <c r="J138" i="10"/>
  <c r="J120" i="10"/>
  <c r="H164" i="10"/>
  <c r="H156" i="10"/>
  <c r="H148" i="10"/>
  <c r="H140" i="10"/>
  <c r="H131" i="10"/>
  <c r="H122" i="10"/>
  <c r="J132" i="10"/>
  <c r="H132" i="10"/>
  <c r="N130" i="10"/>
  <c r="L130" i="10"/>
  <c r="J130" i="10"/>
  <c r="H130" i="10"/>
  <c r="I114" i="10"/>
  <c r="I33" i="10"/>
  <c r="K51" i="10"/>
  <c r="G79" i="10"/>
  <c r="I103" i="10"/>
  <c r="I15" i="10"/>
  <c r="K87" i="10"/>
  <c r="L109" i="10"/>
  <c r="M93" i="10"/>
  <c r="N93" i="10"/>
  <c r="L117" i="10"/>
  <c r="K117" i="10"/>
  <c r="H116" i="10"/>
  <c r="I17" i="10"/>
  <c r="I82" i="10"/>
  <c r="J79" i="10"/>
  <c r="M77" i="10"/>
  <c r="I81" i="10"/>
  <c r="J109" i="10"/>
  <c r="K81" i="10"/>
  <c r="L23" i="10"/>
  <c r="N63" i="10"/>
  <c r="O109" i="10"/>
  <c r="J110" i="10"/>
  <c r="K115" i="10"/>
  <c r="O169" i="10"/>
  <c r="O153" i="10"/>
  <c r="O137" i="10"/>
  <c r="O121" i="10"/>
  <c r="M169" i="10"/>
  <c r="M153" i="10"/>
  <c r="M137" i="10"/>
  <c r="M121" i="10"/>
  <c r="K169" i="10"/>
  <c r="K153" i="10"/>
  <c r="K137" i="10"/>
  <c r="K121" i="10"/>
  <c r="I169" i="10"/>
  <c r="I153" i="10"/>
  <c r="I137" i="10"/>
  <c r="I121" i="10"/>
  <c r="O149" i="10"/>
  <c r="O133" i="10"/>
  <c r="M165" i="10"/>
  <c r="M149" i="10"/>
  <c r="M125" i="10"/>
  <c r="G133" i="10"/>
  <c r="O165" i="10"/>
  <c r="O141" i="10"/>
  <c r="O125" i="10"/>
  <c r="M157" i="10"/>
  <c r="M141" i="10"/>
  <c r="M133" i="10"/>
  <c r="K149" i="10"/>
  <c r="K133" i="10"/>
  <c r="I165" i="10"/>
  <c r="I149" i="10"/>
  <c r="I125" i="10"/>
  <c r="O164" i="10"/>
  <c r="O156" i="10"/>
  <c r="O148" i="10"/>
  <c r="O140" i="10"/>
  <c r="O132" i="10"/>
  <c r="O124" i="10"/>
  <c r="M164" i="10"/>
  <c r="M156" i="10"/>
  <c r="M148" i="10"/>
  <c r="M140" i="10"/>
  <c r="M132" i="10"/>
  <c r="M124" i="10"/>
  <c r="K164" i="10"/>
  <c r="K156" i="10"/>
  <c r="K148" i="10"/>
  <c r="K140" i="10"/>
  <c r="K132" i="10"/>
  <c r="K124" i="10"/>
  <c r="I164" i="10"/>
  <c r="I156" i="10"/>
  <c r="I148" i="10"/>
  <c r="I140" i="10"/>
  <c r="I132" i="10"/>
  <c r="I124" i="10"/>
  <c r="K165" i="10"/>
  <c r="K157" i="10"/>
  <c r="K141" i="10"/>
  <c r="K125" i="10"/>
  <c r="I157" i="10"/>
  <c r="I141" i="10"/>
  <c r="G157" i="10"/>
  <c r="O163" i="10"/>
  <c r="O155" i="10"/>
  <c r="O147" i="10"/>
  <c r="O139" i="10"/>
  <c r="O131" i="10"/>
  <c r="O123" i="10"/>
  <c r="M163" i="10"/>
  <c r="M155" i="10"/>
  <c r="M147" i="10"/>
  <c r="M139" i="10"/>
  <c r="M131" i="10"/>
  <c r="M123" i="10"/>
  <c r="K163" i="10"/>
  <c r="K155" i="10"/>
  <c r="K147" i="10"/>
  <c r="K139" i="10"/>
  <c r="K131" i="10"/>
  <c r="K123" i="10"/>
  <c r="I163" i="10"/>
  <c r="I155" i="10"/>
  <c r="I147" i="10"/>
  <c r="I139" i="10"/>
  <c r="I131" i="10"/>
  <c r="I123" i="10"/>
  <c r="O162" i="10"/>
  <c r="O154" i="10"/>
  <c r="O146" i="10"/>
  <c r="O138" i="10"/>
  <c r="O130" i="10"/>
  <c r="O122" i="10"/>
  <c r="M162" i="10"/>
  <c r="M154" i="10"/>
  <c r="M146" i="10"/>
  <c r="M138" i="10"/>
  <c r="M130" i="10"/>
  <c r="M122" i="10"/>
  <c r="K162" i="10"/>
  <c r="K154" i="10"/>
  <c r="K146" i="10"/>
  <c r="K138" i="10"/>
  <c r="K130" i="10"/>
  <c r="K122" i="10"/>
  <c r="I162" i="10"/>
  <c r="I154" i="10"/>
  <c r="I146" i="10"/>
  <c r="I138" i="10"/>
  <c r="I130" i="10"/>
  <c r="I122" i="10"/>
  <c r="G115" i="10"/>
  <c r="L115" i="10"/>
  <c r="O115" i="10"/>
  <c r="J115" i="10"/>
  <c r="H99" i="10"/>
  <c r="H19" i="10"/>
  <c r="H112" i="10"/>
  <c r="H96" i="10"/>
  <c r="H80" i="10"/>
  <c r="H72" i="10"/>
  <c r="H64" i="10"/>
  <c r="H48" i="10"/>
  <c r="H40" i="10"/>
  <c r="H32" i="10"/>
  <c r="H16" i="10"/>
  <c r="H83" i="10"/>
  <c r="H67" i="10"/>
  <c r="H35" i="10"/>
  <c r="H98" i="10"/>
  <c r="H82" i="10"/>
  <c r="H58" i="10"/>
  <c r="H50" i="10"/>
  <c r="H42" i="10"/>
  <c r="H26" i="10"/>
  <c r="G83" i="10"/>
  <c r="G33" i="10"/>
  <c r="J33" i="10"/>
  <c r="K97" i="10"/>
  <c r="N117" i="10"/>
  <c r="G49" i="10"/>
  <c r="I99" i="10"/>
  <c r="K76" i="10"/>
  <c r="K34" i="10"/>
  <c r="L52" i="10"/>
  <c r="L17" i="10"/>
  <c r="M76" i="10"/>
  <c r="N108" i="10"/>
  <c r="N60" i="10"/>
  <c r="O108" i="10"/>
  <c r="O44" i="10"/>
  <c r="G100" i="10"/>
  <c r="O35" i="10"/>
  <c r="J117" i="10"/>
  <c r="H111" i="10"/>
  <c r="H95" i="10"/>
  <c r="H87" i="10"/>
  <c r="H79" i="10"/>
  <c r="H71" i="10"/>
  <c r="H63" i="10"/>
  <c r="H55" i="10"/>
  <c r="H47" i="10"/>
  <c r="H39" i="10"/>
  <c r="H31" i="10"/>
  <c r="H23" i="10"/>
  <c r="H15" i="10"/>
  <c r="H74" i="10"/>
  <c r="H18" i="10"/>
  <c r="H33" i="10"/>
  <c r="K60" i="10"/>
  <c r="O99" i="10"/>
  <c r="O68" i="10"/>
  <c r="J83" i="10"/>
  <c r="H110" i="10"/>
  <c r="H102" i="10"/>
  <c r="H94" i="10"/>
  <c r="H86" i="10"/>
  <c r="H78" i="10"/>
  <c r="H70" i="10"/>
  <c r="H62" i="10"/>
  <c r="H54" i="10"/>
  <c r="H46" i="10"/>
  <c r="H38" i="10"/>
  <c r="H30" i="10"/>
  <c r="H22" i="10"/>
  <c r="H14" i="10"/>
  <c r="H75" i="10"/>
  <c r="H51" i="10"/>
  <c r="H27" i="10"/>
  <c r="H114" i="10"/>
  <c r="H90" i="10"/>
  <c r="H66" i="10"/>
  <c r="H34" i="10"/>
  <c r="G35" i="10"/>
  <c r="H113" i="10"/>
  <c r="H97" i="10"/>
  <c r="H81" i="10"/>
  <c r="H73" i="10"/>
  <c r="H65" i="10"/>
  <c r="H57" i="10"/>
  <c r="H49" i="10"/>
  <c r="H41" i="10"/>
  <c r="H25" i="10"/>
  <c r="H17" i="10"/>
  <c r="I50" i="10"/>
  <c r="G18" i="10"/>
  <c r="I98" i="10"/>
  <c r="K33" i="10"/>
  <c r="L108" i="10"/>
  <c r="L49" i="10"/>
  <c r="N98" i="10"/>
  <c r="G76" i="10"/>
  <c r="G46" i="10"/>
  <c r="G17" i="10"/>
  <c r="I94" i="10"/>
  <c r="I34" i="10"/>
  <c r="J98" i="10"/>
  <c r="J60" i="10"/>
  <c r="J28" i="10"/>
  <c r="K92" i="10"/>
  <c r="K54" i="10"/>
  <c r="L46" i="10"/>
  <c r="M110" i="10"/>
  <c r="N39" i="10"/>
  <c r="O94" i="10"/>
  <c r="O78" i="10"/>
  <c r="N17" i="10"/>
  <c r="M117" i="10"/>
  <c r="I117" i="10"/>
  <c r="H101" i="10"/>
  <c r="H93" i="10"/>
  <c r="H85" i="10"/>
  <c r="H77" i="10"/>
  <c r="H61" i="10"/>
  <c r="H53" i="10"/>
  <c r="H37" i="10"/>
  <c r="H29" i="10"/>
  <c r="H21" i="10"/>
  <c r="H13" i="10"/>
  <c r="M19" i="10"/>
  <c r="N82" i="10"/>
  <c r="O66" i="10"/>
  <c r="H108" i="10"/>
  <c r="H100" i="10"/>
  <c r="H92" i="10"/>
  <c r="H84" i="10"/>
  <c r="H76" i="10"/>
  <c r="H68" i="10"/>
  <c r="H60" i="10"/>
  <c r="H52" i="10"/>
  <c r="H44" i="10"/>
  <c r="H36" i="10"/>
  <c r="H28" i="10"/>
  <c r="H20" i="10"/>
  <c r="H12" i="10"/>
  <c r="J112" i="10"/>
  <c r="J96" i="10"/>
  <c r="L87" i="10"/>
  <c r="L15" i="10"/>
  <c r="N95" i="10"/>
  <c r="N31" i="10"/>
  <c r="O39" i="10"/>
  <c r="L16" i="10"/>
  <c r="K116" i="10"/>
  <c r="G110" i="10"/>
  <c r="G84" i="10"/>
  <c r="G63" i="10"/>
  <c r="G30" i="10"/>
  <c r="I111" i="10"/>
  <c r="I92" i="10"/>
  <c r="I60" i="10"/>
  <c r="I32" i="10"/>
  <c r="J111" i="10"/>
  <c r="J95" i="10"/>
  <c r="J76" i="10"/>
  <c r="J44" i="10"/>
  <c r="J16" i="10"/>
  <c r="K28" i="10"/>
  <c r="K12" i="10"/>
  <c r="L86" i="10"/>
  <c r="L60" i="10"/>
  <c r="L32" i="10"/>
  <c r="L14" i="10"/>
  <c r="M92" i="10"/>
  <c r="M44" i="10"/>
  <c r="N94" i="10"/>
  <c r="N30" i="10"/>
  <c r="O102" i="10"/>
  <c r="O76" i="10"/>
  <c r="O47" i="10"/>
  <c r="O14" i="10"/>
  <c r="G38" i="10"/>
  <c r="M15" i="10"/>
  <c r="G116" i="10"/>
  <c r="G111" i="10"/>
  <c r="G31" i="10"/>
  <c r="I63" i="10"/>
  <c r="I31" i="10"/>
  <c r="J15" i="10"/>
  <c r="K80" i="10"/>
  <c r="L79" i="10"/>
  <c r="M31" i="10"/>
  <c r="J66" i="10"/>
  <c r="M116" i="10"/>
  <c r="K96" i="10"/>
  <c r="G108" i="10"/>
  <c r="G82" i="10"/>
  <c r="G28" i="10"/>
  <c r="I108" i="10"/>
  <c r="I28" i="10"/>
  <c r="J50" i="10"/>
  <c r="J38" i="10"/>
  <c r="J14" i="10"/>
  <c r="K95" i="10"/>
  <c r="K79" i="10"/>
  <c r="K47" i="10"/>
  <c r="K18" i="10"/>
  <c r="L28" i="10"/>
  <c r="L12" i="10"/>
  <c r="N111" i="10"/>
  <c r="N50" i="10"/>
  <c r="O95" i="10"/>
  <c r="O12" i="10"/>
  <c r="O63" i="10"/>
  <c r="J116" i="10"/>
  <c r="I80" i="10"/>
  <c r="L48" i="10"/>
  <c r="M79" i="10"/>
  <c r="N15" i="10"/>
  <c r="O31" i="10"/>
  <c r="G94" i="10"/>
  <c r="G34" i="10"/>
  <c r="I102" i="10"/>
  <c r="I78" i="10"/>
  <c r="I16" i="10"/>
  <c r="J80" i="10"/>
  <c r="J48" i="10"/>
  <c r="J31" i="10"/>
  <c r="L94" i="10"/>
  <c r="L64" i="10"/>
  <c r="L47" i="10"/>
  <c r="L22" i="10"/>
  <c r="M23" i="10"/>
  <c r="N79" i="10"/>
  <c r="N47" i="10"/>
  <c r="M113" i="10"/>
  <c r="I112" i="10"/>
  <c r="I97" i="10"/>
  <c r="J65" i="10"/>
  <c r="I64" i="10"/>
  <c r="J81" i="10"/>
  <c r="K64" i="10"/>
  <c r="L97" i="10"/>
  <c r="L77" i="10"/>
  <c r="M97" i="10"/>
  <c r="M33" i="10"/>
  <c r="O114" i="10"/>
  <c r="O33" i="10"/>
  <c r="K111" i="10"/>
  <c r="N49" i="10"/>
  <c r="N33" i="10"/>
  <c r="M96" i="10"/>
  <c r="O113" i="10"/>
  <c r="O49" i="10"/>
  <c r="G97" i="10"/>
  <c r="L113" i="10"/>
  <c r="M65" i="10"/>
  <c r="O81" i="10"/>
  <c r="N97" i="10"/>
  <c r="N65" i="10"/>
  <c r="G64" i="10"/>
  <c r="G81" i="10"/>
  <c r="I113" i="10"/>
  <c r="K113" i="10"/>
  <c r="M64" i="10"/>
  <c r="O101" i="10"/>
  <c r="O65" i="10"/>
  <c r="L80" i="10"/>
  <c r="G113" i="10"/>
  <c r="G80" i="10"/>
  <c r="I65" i="10"/>
  <c r="K65" i="10"/>
  <c r="M85" i="10"/>
  <c r="O61" i="10"/>
  <c r="N113" i="10"/>
  <c r="N81" i="10"/>
  <c r="I61" i="10"/>
  <c r="G91" i="10"/>
  <c r="J91" i="10"/>
  <c r="I75" i="10"/>
  <c r="M103" i="10"/>
  <c r="O103" i="10"/>
  <c r="G87" i="10"/>
  <c r="N87" i="10"/>
  <c r="N55" i="10"/>
  <c r="L55" i="10"/>
  <c r="M39" i="10"/>
  <c r="G39" i="10"/>
  <c r="I39" i="10"/>
  <c r="O54" i="10"/>
  <c r="N54" i="10"/>
  <c r="L54" i="10"/>
  <c r="M69" i="10"/>
  <c r="I69" i="10"/>
  <c r="K69" i="10"/>
  <c r="J69" i="10"/>
  <c r="I37" i="10"/>
  <c r="J37" i="10"/>
  <c r="L37" i="10"/>
  <c r="G53" i="10"/>
  <c r="K39" i="10"/>
  <c r="N72" i="10"/>
  <c r="N71" i="10"/>
  <c r="G51" i="10"/>
  <c r="G23" i="10"/>
  <c r="L26" i="10"/>
  <c r="I23" i="10"/>
  <c r="J55" i="10"/>
  <c r="K71" i="10"/>
  <c r="M37" i="10"/>
  <c r="N103" i="10"/>
  <c r="N69" i="10"/>
  <c r="N23" i="10"/>
  <c r="O87" i="10"/>
  <c r="J72" i="10"/>
  <c r="M71" i="10"/>
  <c r="O71" i="10"/>
  <c r="M102" i="10"/>
  <c r="G102" i="10"/>
  <c r="O86" i="10"/>
  <c r="N86" i="10"/>
  <c r="M70" i="10"/>
  <c r="G70" i="10"/>
  <c r="J70" i="10"/>
  <c r="O53" i="10"/>
  <c r="N53" i="10"/>
  <c r="L53" i="10"/>
  <c r="G52" i="10"/>
  <c r="K101" i="10"/>
  <c r="K73" i="10"/>
  <c r="K37" i="10"/>
  <c r="J67" i="10"/>
  <c r="I67" i="10"/>
  <c r="G67" i="10"/>
  <c r="M38" i="10"/>
  <c r="I91" i="10"/>
  <c r="J54" i="10"/>
  <c r="J23" i="10"/>
  <c r="K70" i="10"/>
  <c r="L70" i="10"/>
  <c r="L39" i="10"/>
  <c r="M68" i="10"/>
  <c r="N102" i="10"/>
  <c r="N22" i="10"/>
  <c r="G86" i="10"/>
  <c r="O55" i="10"/>
  <c r="G112" i="10"/>
  <c r="L112" i="10"/>
  <c r="K112" i="10"/>
  <c r="I96" i="10"/>
  <c r="L96" i="10"/>
  <c r="K48" i="10"/>
  <c r="M48" i="10"/>
  <c r="G48" i="10"/>
  <c r="J32" i="10"/>
  <c r="K32" i="10"/>
  <c r="M16" i="10"/>
  <c r="G16" i="10"/>
  <c r="I87" i="10"/>
  <c r="I51" i="10"/>
  <c r="J53" i="10"/>
  <c r="J22" i="10"/>
  <c r="L103" i="10"/>
  <c r="L69" i="10"/>
  <c r="M67" i="10"/>
  <c r="M32" i="10"/>
  <c r="N101" i="10"/>
  <c r="M84" i="10"/>
  <c r="G54" i="10"/>
  <c r="J73" i="10"/>
  <c r="L73" i="10"/>
  <c r="J71" i="10"/>
  <c r="I38" i="10"/>
  <c r="K38" i="10"/>
  <c r="N85" i="10"/>
  <c r="J85" i="10"/>
  <c r="L85" i="10"/>
  <c r="K85" i="10"/>
  <c r="O21" i="10"/>
  <c r="N21" i="10"/>
  <c r="G21" i="10"/>
  <c r="G103" i="10"/>
  <c r="I86" i="10"/>
  <c r="J21" i="10"/>
  <c r="L102" i="10"/>
  <c r="G101" i="10"/>
  <c r="I85" i="10"/>
  <c r="K23" i="10"/>
  <c r="L101" i="10"/>
  <c r="M101" i="10"/>
  <c r="O41" i="10"/>
  <c r="K55" i="10"/>
  <c r="O38" i="10"/>
  <c r="G95" i="10"/>
  <c r="M111" i="10"/>
  <c r="J63" i="10"/>
  <c r="G66" i="10"/>
  <c r="G15" i="10"/>
  <c r="J62" i="10"/>
  <c r="M14" i="10"/>
  <c r="L95" i="10"/>
  <c r="J82" i="10"/>
  <c r="J61" i="10"/>
  <c r="O100" i="10"/>
  <c r="K107" i="10"/>
  <c r="L107" i="10"/>
  <c r="N107" i="10"/>
  <c r="K91" i="10"/>
  <c r="L91" i="10"/>
  <c r="O91" i="10"/>
  <c r="K75" i="10"/>
  <c r="L75" i="10"/>
  <c r="M75" i="10"/>
  <c r="K59" i="10"/>
  <c r="L59" i="10"/>
  <c r="O59" i="10"/>
  <c r="J59" i="10"/>
  <c r="N59" i="10"/>
  <c r="K43" i="10"/>
  <c r="L43" i="10"/>
  <c r="O43" i="10"/>
  <c r="M43" i="10"/>
  <c r="K27" i="10"/>
  <c r="L27" i="10"/>
  <c r="G27" i="10"/>
  <c r="N27" i="10"/>
  <c r="M74" i="10"/>
  <c r="N74" i="10"/>
  <c r="K74" i="10"/>
  <c r="M89" i="10"/>
  <c r="N89" i="10"/>
  <c r="L89" i="10"/>
  <c r="I89" i="10"/>
  <c r="G89" i="10"/>
  <c r="O104" i="10"/>
  <c r="L104" i="10"/>
  <c r="N104" i="10"/>
  <c r="K104" i="10"/>
  <c r="J104" i="10"/>
  <c r="O88" i="10"/>
  <c r="M88" i="10"/>
  <c r="I88" i="10"/>
  <c r="G88" i="10"/>
  <c r="J88" i="10"/>
  <c r="O72" i="10"/>
  <c r="I72" i="10"/>
  <c r="G72" i="10"/>
  <c r="O56" i="10"/>
  <c r="K56" i="10"/>
  <c r="L56" i="10"/>
  <c r="I56" i="10"/>
  <c r="O40" i="10"/>
  <c r="N40" i="10"/>
  <c r="M40" i="10"/>
  <c r="O24" i="10"/>
  <c r="K24" i="10"/>
  <c r="G90" i="10"/>
  <c r="J89" i="10"/>
  <c r="K88" i="10"/>
  <c r="L36" i="10"/>
  <c r="N43" i="10"/>
  <c r="M91" i="10"/>
  <c r="N91" i="10"/>
  <c r="N42" i="10"/>
  <c r="O36" i="10"/>
  <c r="G107" i="10"/>
  <c r="J107" i="10"/>
  <c r="J27" i="10"/>
  <c r="K40" i="10"/>
  <c r="M106" i="10"/>
  <c r="N106" i="10"/>
  <c r="I106" i="10"/>
  <c r="G106" i="10"/>
  <c r="M25" i="10"/>
  <c r="N25" i="10"/>
  <c r="L25" i="10"/>
  <c r="J25" i="10"/>
  <c r="O25" i="10"/>
  <c r="N88" i="10"/>
  <c r="J52" i="10"/>
  <c r="K52" i="10"/>
  <c r="O52" i="10"/>
  <c r="J24" i="10"/>
  <c r="M59" i="10"/>
  <c r="L99" i="10"/>
  <c r="N99" i="10"/>
  <c r="L83" i="10"/>
  <c r="O83" i="10"/>
  <c r="M83" i="10"/>
  <c r="L67" i="10"/>
  <c r="N67" i="10"/>
  <c r="K67" i="10"/>
  <c r="L51" i="10"/>
  <c r="J51" i="10"/>
  <c r="O51" i="10"/>
  <c r="L35" i="10"/>
  <c r="N35" i="10"/>
  <c r="M35" i="10"/>
  <c r="J35" i="10"/>
  <c r="L19" i="10"/>
  <c r="O19" i="10"/>
  <c r="K19" i="10"/>
  <c r="G19" i="10"/>
  <c r="I19" i="10"/>
  <c r="J19" i="10"/>
  <c r="G25" i="10"/>
  <c r="I43" i="10"/>
  <c r="I24" i="10"/>
  <c r="L72" i="10"/>
  <c r="M56" i="10"/>
  <c r="O58" i="10"/>
  <c r="L114" i="10"/>
  <c r="M114" i="10"/>
  <c r="N114" i="10"/>
  <c r="L98" i="10"/>
  <c r="M98" i="10"/>
  <c r="O98" i="10"/>
  <c r="L82" i="10"/>
  <c r="M82" i="10"/>
  <c r="O82" i="10"/>
  <c r="L66" i="10"/>
  <c r="M66" i="10"/>
  <c r="N66" i="10"/>
  <c r="K66" i="10"/>
  <c r="L50" i="10"/>
  <c r="M50" i="10"/>
  <c r="O50" i="10"/>
  <c r="K50" i="10"/>
  <c r="L34" i="10"/>
  <c r="M34" i="10"/>
  <c r="J34" i="10"/>
  <c r="L18" i="10"/>
  <c r="M18" i="10"/>
  <c r="I18" i="10"/>
  <c r="J18" i="10"/>
  <c r="G43" i="10"/>
  <c r="G24" i="10"/>
  <c r="I107" i="10"/>
  <c r="J99" i="10"/>
  <c r="J43" i="10"/>
  <c r="K99" i="10"/>
  <c r="K35" i="10"/>
  <c r="M107" i="10"/>
  <c r="N34" i="10"/>
  <c r="O27" i="10"/>
  <c r="M90" i="10"/>
  <c r="O90" i="10"/>
  <c r="I90" i="10"/>
  <c r="K90" i="10"/>
  <c r="L106" i="10"/>
  <c r="M57" i="10"/>
  <c r="N57" i="10"/>
  <c r="L57" i="10"/>
  <c r="J90" i="10"/>
  <c r="J106" i="10"/>
  <c r="J68" i="10"/>
  <c r="K68" i="10"/>
  <c r="N68" i="10"/>
  <c r="M58" i="10"/>
  <c r="L58" i="10"/>
  <c r="M105" i="10"/>
  <c r="N105" i="10"/>
  <c r="O105" i="10"/>
  <c r="I105" i="10"/>
  <c r="G105" i="10"/>
  <c r="K105" i="10"/>
  <c r="J105" i="10"/>
  <c r="K89" i="10"/>
  <c r="L105" i="10"/>
  <c r="N83" i="10"/>
  <c r="I59" i="10"/>
  <c r="J58" i="10"/>
  <c r="M52" i="10"/>
  <c r="M42" i="10"/>
  <c r="J42" i="10"/>
  <c r="O42" i="10"/>
  <c r="K42" i="10"/>
  <c r="M41" i="10"/>
  <c r="N41" i="10"/>
  <c r="I74" i="10"/>
  <c r="G104" i="10"/>
  <c r="J36" i="10"/>
  <c r="K36" i="10"/>
  <c r="M36" i="10"/>
  <c r="G36" i="10"/>
  <c r="G42" i="10"/>
  <c r="I41" i="10"/>
  <c r="J41" i="10"/>
  <c r="K58" i="10"/>
  <c r="L24" i="10"/>
  <c r="M104" i="10"/>
  <c r="G59" i="10"/>
  <c r="G41" i="10"/>
  <c r="I40" i="10"/>
  <c r="J40" i="10"/>
  <c r="L90" i="10"/>
  <c r="G40" i="10"/>
  <c r="L88" i="10"/>
  <c r="L68" i="10"/>
  <c r="M27" i="10"/>
  <c r="M26" i="10"/>
  <c r="I26" i="10"/>
  <c r="O26" i="10"/>
  <c r="N26" i="10"/>
  <c r="M73" i="10"/>
  <c r="N73" i="10"/>
  <c r="O73" i="10"/>
  <c r="I73" i="10"/>
  <c r="J26" i="10"/>
  <c r="K106" i="10"/>
  <c r="L74" i="10"/>
  <c r="O89" i="10"/>
  <c r="J100" i="10"/>
  <c r="K100" i="10"/>
  <c r="N100" i="10"/>
  <c r="M100" i="10"/>
  <c r="J84" i="10"/>
  <c r="K84" i="10"/>
  <c r="O84" i="10"/>
  <c r="J20" i="10"/>
  <c r="K20" i="10"/>
  <c r="N20" i="10"/>
  <c r="G20" i="10"/>
  <c r="L20" i="10"/>
  <c r="I20" i="10"/>
  <c r="G26" i="10"/>
  <c r="I25" i="10"/>
  <c r="I104" i="10"/>
  <c r="I84" i="10"/>
  <c r="N84" i="10"/>
  <c r="N56" i="10"/>
  <c r="I83" i="10"/>
  <c r="K57" i="10"/>
  <c r="O107" i="10"/>
  <c r="G58" i="10"/>
  <c r="O106" i="10"/>
  <c r="G57" i="10"/>
  <c r="I58" i="10"/>
  <c r="J75" i="10"/>
  <c r="J57" i="10"/>
  <c r="L42" i="10"/>
  <c r="M72" i="10"/>
  <c r="M51" i="10"/>
  <c r="M24" i="10"/>
  <c r="O75" i="10"/>
  <c r="O20" i="10"/>
  <c r="G114" i="10"/>
  <c r="G75" i="10"/>
  <c r="G56" i="10"/>
  <c r="I100" i="10"/>
  <c r="I57" i="10"/>
  <c r="J74" i="10"/>
  <c r="J56" i="10"/>
  <c r="L41" i="10"/>
  <c r="M99" i="10"/>
  <c r="N52" i="10"/>
  <c r="N24" i="10"/>
  <c r="O74" i="10"/>
  <c r="O18" i="10"/>
  <c r="L78" i="10"/>
  <c r="M63" i="10"/>
  <c r="O111" i="10"/>
  <c r="G55" i="10"/>
  <c r="I55" i="10"/>
  <c r="J87" i="10"/>
  <c r="K49" i="10"/>
  <c r="K31" i="10"/>
  <c r="M81" i="10"/>
  <c r="M62" i="10"/>
  <c r="O110" i="10"/>
  <c r="G22" i="10"/>
  <c r="I22" i="10"/>
  <c r="G71" i="10"/>
  <c r="I71" i="10"/>
  <c r="I54" i="10"/>
  <c r="J103" i="10"/>
  <c r="J86" i="10"/>
  <c r="J17" i="10"/>
  <c r="K103" i="10"/>
  <c r="K30" i="10"/>
  <c r="O30" i="10"/>
  <c r="L30" i="10"/>
  <c r="N78" i="10"/>
  <c r="N112" i="10"/>
  <c r="O112" i="10"/>
  <c r="N96" i="10"/>
  <c r="O96" i="10"/>
  <c r="N80" i="10"/>
  <c r="O80" i="10"/>
  <c r="N64" i="10"/>
  <c r="O64" i="10"/>
  <c r="N48" i="10"/>
  <c r="O48" i="10"/>
  <c r="N32" i="10"/>
  <c r="O32" i="10"/>
  <c r="N16" i="10"/>
  <c r="O16" i="10"/>
  <c r="G78" i="10"/>
  <c r="M30" i="10"/>
  <c r="N14" i="10"/>
  <c r="F12" i="9" l="1" a="1"/>
  <c r="F12" i="9" s="1"/>
  <c r="J116" i="9"/>
  <c r="I116" i="9"/>
  <c r="H116" i="9"/>
  <c r="G116" i="9"/>
  <c r="F116" i="9"/>
  <c r="O115" i="9"/>
  <c r="N115" i="9"/>
  <c r="M115" i="9"/>
  <c r="L115" i="9"/>
  <c r="K115" i="9"/>
  <c r="J115" i="9"/>
  <c r="N114" i="9"/>
  <c r="M114" i="9"/>
  <c r="L114" i="9"/>
  <c r="K114" i="9"/>
  <c r="J114" i="9"/>
  <c r="I114" i="9"/>
  <c r="H114" i="9"/>
  <c r="G114" i="9"/>
  <c r="F114" i="9"/>
  <c r="O113" i="9"/>
  <c r="N113" i="9"/>
  <c r="H113" i="9"/>
  <c r="G113" i="9"/>
  <c r="F113" i="9"/>
  <c r="O112" i="9"/>
  <c r="N112" i="9"/>
  <c r="M112" i="9"/>
  <c r="L112" i="9"/>
  <c r="K112" i="9"/>
  <c r="J112" i="9"/>
  <c r="I112" i="9"/>
  <c r="H112" i="9"/>
  <c r="L111" i="9"/>
  <c r="K111" i="9"/>
  <c r="J111" i="9"/>
  <c r="I111" i="9"/>
  <c r="H111" i="9"/>
  <c r="G111" i="9"/>
  <c r="F111" i="9"/>
  <c r="O110" i="9"/>
  <c r="N110" i="9"/>
  <c r="M110" i="9"/>
  <c r="L110" i="9"/>
  <c r="F110" i="9"/>
  <c r="O109" i="9"/>
  <c r="N109" i="9"/>
  <c r="M109" i="9"/>
  <c r="L109" i="9"/>
  <c r="K109" i="9"/>
  <c r="J109" i="9"/>
  <c r="I109" i="9"/>
  <c r="H109" i="9"/>
  <c r="G109" i="9"/>
  <c r="F109" i="9"/>
  <c r="J108" i="9"/>
  <c r="I108" i="9"/>
  <c r="H108" i="9"/>
  <c r="G108" i="9"/>
  <c r="F108" i="9"/>
  <c r="O107" i="9"/>
  <c r="N107" i="9"/>
  <c r="M107" i="9"/>
  <c r="L107" i="9"/>
  <c r="K107" i="9"/>
  <c r="J107" i="9"/>
  <c r="N106" i="9"/>
  <c r="M106" i="9"/>
  <c r="L106" i="9"/>
  <c r="K106" i="9"/>
  <c r="J106" i="9"/>
  <c r="I106" i="9"/>
  <c r="H106" i="9"/>
  <c r="G106" i="9"/>
  <c r="F106" i="9"/>
  <c r="O105" i="9"/>
  <c r="N105" i="9"/>
  <c r="H105" i="9"/>
  <c r="G105" i="9"/>
  <c r="F105" i="9"/>
  <c r="O104" i="9"/>
  <c r="N104" i="9"/>
  <c r="M104" i="9"/>
  <c r="L104" i="9"/>
  <c r="K104" i="9"/>
  <c r="J104" i="9"/>
  <c r="I104" i="9"/>
  <c r="H104" i="9"/>
  <c r="L103" i="9"/>
  <c r="K103" i="9"/>
  <c r="J103" i="9"/>
  <c r="I103" i="9"/>
  <c r="H103" i="9"/>
  <c r="G103" i="9"/>
  <c r="F103" i="9"/>
  <c r="O102" i="9"/>
  <c r="N102" i="9"/>
  <c r="M102" i="9"/>
  <c r="L102" i="9"/>
  <c r="F102" i="9"/>
  <c r="O101" i="9"/>
  <c r="N101" i="9"/>
  <c r="M101" i="9"/>
  <c r="L101" i="9"/>
  <c r="K101" i="9"/>
  <c r="J101" i="9"/>
  <c r="I101" i="9"/>
  <c r="H101" i="9"/>
  <c r="G101" i="9"/>
  <c r="F101" i="9"/>
  <c r="J100" i="9"/>
  <c r="I100" i="9"/>
  <c r="H100" i="9"/>
  <c r="G100" i="9"/>
  <c r="F100" i="9"/>
  <c r="O99" i="9"/>
  <c r="N99" i="9"/>
  <c r="M99" i="9"/>
  <c r="L99" i="9"/>
  <c r="K99" i="9"/>
  <c r="J99" i="9"/>
  <c r="N98" i="9"/>
  <c r="M98" i="9"/>
  <c r="L98" i="9"/>
  <c r="K98" i="9"/>
  <c r="J98" i="9"/>
  <c r="I98" i="9"/>
  <c r="H98" i="9"/>
  <c r="G98" i="9"/>
  <c r="F98" i="9"/>
  <c r="O97" i="9"/>
  <c r="N97" i="9"/>
  <c r="H97" i="9"/>
  <c r="G97" i="9"/>
  <c r="F97" i="9"/>
  <c r="O96" i="9"/>
  <c r="N96" i="9"/>
  <c r="M96" i="9"/>
  <c r="L96" i="9"/>
  <c r="K96" i="9"/>
  <c r="J96" i="9"/>
  <c r="I96" i="9"/>
  <c r="H96" i="9"/>
  <c r="L95" i="9"/>
  <c r="K95" i="9"/>
  <c r="J95" i="9"/>
  <c r="I95" i="9"/>
  <c r="H95" i="9"/>
  <c r="G95" i="9"/>
  <c r="F95" i="9"/>
  <c r="O94" i="9"/>
  <c r="N94" i="9"/>
  <c r="M94" i="9"/>
  <c r="L94" i="9"/>
  <c r="F94" i="9"/>
  <c r="O93" i="9"/>
  <c r="N93" i="9"/>
  <c r="M93" i="9"/>
  <c r="L93" i="9"/>
  <c r="K93" i="9"/>
  <c r="J93" i="9"/>
  <c r="I93" i="9"/>
  <c r="H93" i="9"/>
  <c r="G93" i="9"/>
  <c r="F93" i="9"/>
  <c r="J92" i="9"/>
  <c r="I92" i="9"/>
  <c r="H92" i="9"/>
  <c r="G92" i="9"/>
  <c r="F92" i="9"/>
  <c r="O91" i="9"/>
  <c r="N91" i="9"/>
  <c r="M91" i="9"/>
  <c r="L91" i="9"/>
  <c r="K91" i="9"/>
  <c r="J91" i="9"/>
  <c r="F91" i="9"/>
  <c r="N90" i="9"/>
  <c r="M90" i="9"/>
  <c r="L90" i="9"/>
  <c r="K90" i="9"/>
  <c r="J90" i="9"/>
  <c r="I90" i="9"/>
  <c r="H90" i="9"/>
  <c r="G90" i="9"/>
  <c r="F90" i="9"/>
  <c r="O89" i="9"/>
  <c r="N89" i="9"/>
  <c r="J89" i="9"/>
  <c r="H89" i="9"/>
  <c r="G89" i="9"/>
  <c r="F89" i="9"/>
  <c r="O88" i="9"/>
  <c r="N88" i="9"/>
  <c r="M88" i="9"/>
  <c r="L88" i="9"/>
  <c r="K88" i="9"/>
  <c r="J88" i="9"/>
  <c r="I88" i="9"/>
  <c r="H88" i="9"/>
  <c r="N87" i="9"/>
  <c r="L87" i="9"/>
  <c r="K87" i="9"/>
  <c r="J87" i="9"/>
  <c r="I87" i="9"/>
  <c r="H87" i="9"/>
  <c r="G87" i="9"/>
  <c r="F87" i="9"/>
  <c r="O86" i="9"/>
  <c r="N86" i="9"/>
  <c r="M86" i="9"/>
  <c r="L86" i="9"/>
  <c r="J86" i="9"/>
  <c r="H86" i="9"/>
  <c r="F86" i="9"/>
  <c r="O85" i="9"/>
  <c r="N85" i="9"/>
  <c r="M85" i="9"/>
  <c r="L85" i="9"/>
  <c r="K85" i="9"/>
  <c r="J85" i="9"/>
  <c r="I85" i="9"/>
  <c r="H85" i="9"/>
  <c r="G85" i="9"/>
  <c r="F85" i="9"/>
  <c r="N84" i="9"/>
  <c r="L84" i="9"/>
  <c r="J84" i="9"/>
  <c r="I84" i="9"/>
  <c r="H84" i="9"/>
  <c r="G84" i="9"/>
  <c r="F84" i="9"/>
  <c r="O83" i="9"/>
  <c r="N83" i="9"/>
  <c r="M83" i="9"/>
  <c r="L83" i="9"/>
  <c r="K83" i="9"/>
  <c r="J83" i="9"/>
  <c r="H83" i="9"/>
  <c r="F83" i="9"/>
  <c r="N82" i="9"/>
  <c r="M82" i="9"/>
  <c r="L82" i="9"/>
  <c r="K82" i="9"/>
  <c r="J82" i="9"/>
  <c r="I82" i="9"/>
  <c r="H82" i="9"/>
  <c r="G82" i="9"/>
  <c r="F82" i="9"/>
  <c r="O81" i="9"/>
  <c r="N81" i="9"/>
  <c r="L81" i="9"/>
  <c r="J81" i="9"/>
  <c r="H81" i="9"/>
  <c r="G81" i="9"/>
  <c r="F81" i="9"/>
  <c r="O80" i="9"/>
  <c r="N80" i="9"/>
  <c r="M80" i="9"/>
  <c r="L80" i="9"/>
  <c r="K80" i="9"/>
  <c r="J80" i="9"/>
  <c r="I80" i="9"/>
  <c r="H80" i="9"/>
  <c r="F80" i="9"/>
  <c r="N79" i="9"/>
  <c r="L79" i="9"/>
  <c r="K79" i="9"/>
  <c r="J79" i="9"/>
  <c r="I79" i="9"/>
  <c r="H79" i="9"/>
  <c r="G79" i="9"/>
  <c r="F79" i="9"/>
  <c r="O78" i="9"/>
  <c r="N78" i="9"/>
  <c r="M78" i="9"/>
  <c r="L78" i="9"/>
  <c r="J78" i="9"/>
  <c r="H78" i="9"/>
  <c r="F78" i="9"/>
  <c r="O77" i="9"/>
  <c r="N77" i="9"/>
  <c r="M77" i="9"/>
  <c r="L77" i="9"/>
  <c r="K77" i="9"/>
  <c r="J77" i="9"/>
  <c r="I77" i="9"/>
  <c r="H77" i="9"/>
  <c r="G77" i="9"/>
  <c r="F77" i="9"/>
  <c r="N76" i="9"/>
  <c r="L76" i="9"/>
  <c r="J76" i="9"/>
  <c r="I76" i="9"/>
  <c r="H76" i="9"/>
  <c r="G76" i="9"/>
  <c r="F76" i="9"/>
  <c r="O75" i="9"/>
  <c r="N75" i="9"/>
  <c r="M75" i="9"/>
  <c r="L75" i="9"/>
  <c r="K75" i="9"/>
  <c r="J75" i="9"/>
  <c r="H75" i="9"/>
  <c r="F75" i="9"/>
  <c r="N74" i="9"/>
  <c r="M74" i="9"/>
  <c r="L74" i="9"/>
  <c r="K74" i="9"/>
  <c r="J74" i="9"/>
  <c r="I74" i="9"/>
  <c r="H74" i="9"/>
  <c r="G74" i="9"/>
  <c r="F74" i="9"/>
  <c r="O73" i="9"/>
  <c r="N73" i="9"/>
  <c r="L73" i="9"/>
  <c r="J73" i="9"/>
  <c r="H73" i="9"/>
  <c r="G73" i="9"/>
  <c r="F73" i="9"/>
  <c r="O72" i="9"/>
  <c r="N72" i="9"/>
  <c r="M72" i="9"/>
  <c r="L72" i="9"/>
  <c r="K72" i="9"/>
  <c r="J72" i="9"/>
  <c r="I72" i="9"/>
  <c r="H72" i="9"/>
  <c r="F72" i="9"/>
  <c r="N71" i="9"/>
  <c r="L71" i="9"/>
  <c r="K71" i="9"/>
  <c r="J71" i="9"/>
  <c r="I71" i="9"/>
  <c r="H71" i="9"/>
  <c r="G71" i="9"/>
  <c r="F71" i="9"/>
  <c r="O70" i="9"/>
  <c r="N70" i="9"/>
  <c r="M70" i="9"/>
  <c r="L70" i="9"/>
  <c r="J70" i="9"/>
  <c r="H70" i="9"/>
  <c r="F70" i="9"/>
  <c r="O69" i="9"/>
  <c r="N69" i="9"/>
  <c r="M69" i="9"/>
  <c r="L69" i="9"/>
  <c r="K69" i="9"/>
  <c r="J69" i="9"/>
  <c r="I69" i="9"/>
  <c r="H69" i="9"/>
  <c r="G69" i="9"/>
  <c r="F69" i="9"/>
  <c r="N68" i="9"/>
  <c r="L68" i="9"/>
  <c r="J68" i="9"/>
  <c r="I68" i="9"/>
  <c r="H68" i="9"/>
  <c r="G68" i="9"/>
  <c r="F68" i="9"/>
  <c r="O67" i="9"/>
  <c r="N67" i="9"/>
  <c r="M67" i="9"/>
  <c r="L67" i="9"/>
  <c r="K67" i="9"/>
  <c r="J67" i="9"/>
  <c r="H67" i="9"/>
  <c r="F67" i="9"/>
  <c r="N66" i="9"/>
  <c r="M66" i="9"/>
  <c r="L66" i="9"/>
  <c r="K66" i="9"/>
  <c r="J66" i="9"/>
  <c r="I66" i="9"/>
  <c r="H66" i="9"/>
  <c r="G66" i="9"/>
  <c r="F66" i="9"/>
  <c r="O65" i="9"/>
  <c r="N65" i="9"/>
  <c r="L65" i="9"/>
  <c r="J65" i="9"/>
  <c r="H65" i="9"/>
  <c r="G65" i="9"/>
  <c r="F65" i="9"/>
  <c r="O64" i="9"/>
  <c r="N64" i="9"/>
  <c r="M64" i="9"/>
  <c r="L64" i="9"/>
  <c r="K64" i="9"/>
  <c r="J64" i="9"/>
  <c r="I64" i="9"/>
  <c r="H64" i="9"/>
  <c r="F64" i="9"/>
  <c r="N63" i="9"/>
  <c r="L63" i="9"/>
  <c r="K63" i="9"/>
  <c r="J63" i="9"/>
  <c r="I63" i="9"/>
  <c r="H63" i="9"/>
  <c r="G63" i="9"/>
  <c r="F63" i="9"/>
  <c r="O62" i="9"/>
  <c r="N62" i="9"/>
  <c r="M62" i="9"/>
  <c r="L62" i="9"/>
  <c r="J62" i="9"/>
  <c r="H62" i="9"/>
  <c r="F62" i="9"/>
  <c r="O61" i="9"/>
  <c r="N61" i="9"/>
  <c r="M61" i="9"/>
  <c r="L61" i="9"/>
  <c r="K61" i="9"/>
  <c r="J61" i="9"/>
  <c r="I61" i="9"/>
  <c r="H61" i="9"/>
  <c r="G61" i="9"/>
  <c r="F61" i="9"/>
  <c r="N60" i="9"/>
  <c r="L60" i="9"/>
  <c r="J60" i="9"/>
  <c r="I60" i="9"/>
  <c r="H60" i="9"/>
  <c r="G60" i="9"/>
  <c r="F60" i="9"/>
  <c r="O59" i="9"/>
  <c r="N59" i="9"/>
  <c r="M59" i="9"/>
  <c r="L59" i="9"/>
  <c r="K59" i="9"/>
  <c r="J59" i="9"/>
  <c r="H59" i="9"/>
  <c r="F59" i="9"/>
  <c r="N58" i="9"/>
  <c r="M58" i="9"/>
  <c r="L58" i="9"/>
  <c r="K58" i="9"/>
  <c r="J58" i="9"/>
  <c r="I58" i="9"/>
  <c r="H58" i="9"/>
  <c r="G58" i="9"/>
  <c r="F58" i="9"/>
  <c r="O57" i="9"/>
  <c r="N57" i="9"/>
  <c r="L57" i="9"/>
  <c r="J57" i="9"/>
  <c r="H57" i="9"/>
  <c r="G57" i="9"/>
  <c r="F57" i="9"/>
  <c r="O56" i="9"/>
  <c r="N56" i="9"/>
  <c r="M56" i="9"/>
  <c r="L56" i="9"/>
  <c r="K56" i="9"/>
  <c r="J56" i="9"/>
  <c r="I56" i="9"/>
  <c r="H56" i="9"/>
  <c r="F56" i="9"/>
  <c r="N55" i="9"/>
  <c r="L55" i="9"/>
  <c r="K55" i="9"/>
  <c r="J55" i="9"/>
  <c r="I55" i="9"/>
  <c r="H55" i="9"/>
  <c r="G55" i="9"/>
  <c r="F55" i="9"/>
  <c r="O54" i="9"/>
  <c r="N54" i="9"/>
  <c r="M54" i="9"/>
  <c r="L54" i="9"/>
  <c r="J54" i="9"/>
  <c r="H54" i="9"/>
  <c r="F54" i="9"/>
  <c r="O53" i="9"/>
  <c r="N53" i="9"/>
  <c r="M53" i="9"/>
  <c r="L53" i="9"/>
  <c r="K53" i="9"/>
  <c r="J53" i="9"/>
  <c r="I53" i="9"/>
  <c r="H53" i="9"/>
  <c r="G53" i="9"/>
  <c r="F53" i="9"/>
  <c r="N52" i="9"/>
  <c r="L52" i="9"/>
  <c r="J52" i="9"/>
  <c r="I52" i="9"/>
  <c r="H52" i="9"/>
  <c r="G52" i="9"/>
  <c r="F52" i="9"/>
  <c r="O51" i="9"/>
  <c r="N51" i="9"/>
  <c r="M51" i="9"/>
  <c r="L51" i="9"/>
  <c r="K51" i="9"/>
  <c r="J51" i="9"/>
  <c r="H51" i="9"/>
  <c r="F51" i="9"/>
  <c r="O50" i="9"/>
  <c r="N50" i="9"/>
  <c r="M50" i="9"/>
  <c r="L50" i="9"/>
  <c r="K50" i="9"/>
  <c r="J50" i="9"/>
  <c r="I50" i="9"/>
  <c r="H50" i="9"/>
  <c r="G50" i="9"/>
  <c r="F50" i="9"/>
  <c r="O49" i="9"/>
  <c r="N49" i="9"/>
  <c r="L49" i="9"/>
  <c r="J49" i="9"/>
  <c r="I49" i="9"/>
  <c r="H49" i="9"/>
  <c r="G49" i="9"/>
  <c r="F49" i="9"/>
  <c r="O48" i="9"/>
  <c r="N48" i="9"/>
  <c r="M48" i="9"/>
  <c r="L48" i="9"/>
  <c r="K48" i="9"/>
  <c r="J48" i="9"/>
  <c r="I48" i="9"/>
  <c r="H48" i="9"/>
  <c r="F48" i="9"/>
  <c r="N47" i="9"/>
  <c r="M47" i="9"/>
  <c r="L47" i="9"/>
  <c r="K47" i="9"/>
  <c r="J47" i="9"/>
  <c r="I47" i="9"/>
  <c r="H47" i="9"/>
  <c r="G47" i="9"/>
  <c r="F47" i="9"/>
  <c r="O46" i="9"/>
  <c r="N46" i="9"/>
  <c r="M46" i="9"/>
  <c r="L46" i="9"/>
  <c r="J46" i="9"/>
  <c r="H46" i="9"/>
  <c r="G46" i="9"/>
  <c r="F46" i="9"/>
  <c r="O45" i="9"/>
  <c r="N45" i="9"/>
  <c r="M45" i="9"/>
  <c r="L45" i="9"/>
  <c r="K45" i="9"/>
  <c r="J45" i="9"/>
  <c r="I45" i="9"/>
  <c r="H45" i="9"/>
  <c r="G45" i="9"/>
  <c r="F45" i="9"/>
  <c r="N44" i="9"/>
  <c r="L44" i="9"/>
  <c r="K44" i="9"/>
  <c r="J44" i="9"/>
  <c r="I44" i="9"/>
  <c r="H44" i="9"/>
  <c r="G44" i="9"/>
  <c r="F44" i="9"/>
  <c r="O43" i="9"/>
  <c r="N43" i="9"/>
  <c r="M43" i="9"/>
  <c r="L43" i="9"/>
  <c r="K43" i="9"/>
  <c r="J43" i="9"/>
  <c r="H43" i="9"/>
  <c r="F43" i="9"/>
  <c r="O42" i="9"/>
  <c r="N42" i="9"/>
  <c r="M42" i="9"/>
  <c r="L42" i="9"/>
  <c r="K42" i="9"/>
  <c r="J42" i="9"/>
  <c r="I42" i="9"/>
  <c r="H42" i="9"/>
  <c r="G42" i="9"/>
  <c r="F42" i="9"/>
  <c r="O41" i="9"/>
  <c r="N41" i="9"/>
  <c r="L41" i="9"/>
  <c r="J41" i="9"/>
  <c r="I41" i="9"/>
  <c r="H41" i="9"/>
  <c r="G41" i="9"/>
  <c r="F41" i="9"/>
  <c r="O40" i="9"/>
  <c r="N40" i="9"/>
  <c r="M40" i="9"/>
  <c r="L40" i="9"/>
  <c r="K40" i="9"/>
  <c r="J40" i="9"/>
  <c r="I40" i="9"/>
  <c r="H40" i="9"/>
  <c r="F40" i="9"/>
  <c r="N39" i="9"/>
  <c r="M39" i="9"/>
  <c r="L39" i="9"/>
  <c r="K39" i="9"/>
  <c r="J39" i="9"/>
  <c r="I39" i="9"/>
  <c r="H39" i="9"/>
  <c r="G39" i="9"/>
  <c r="F39" i="9"/>
  <c r="O38" i="9"/>
  <c r="N38" i="9"/>
  <c r="M38" i="9"/>
  <c r="L38" i="9"/>
  <c r="J38" i="9"/>
  <c r="H38" i="9"/>
  <c r="G38" i="9"/>
  <c r="F38" i="9"/>
  <c r="O37" i="9"/>
  <c r="N37" i="9"/>
  <c r="M37" i="9"/>
  <c r="L37" i="9"/>
  <c r="K37" i="9"/>
  <c r="J37" i="9"/>
  <c r="I37" i="9"/>
  <c r="H37" i="9"/>
  <c r="G37" i="9"/>
  <c r="F37" i="9"/>
  <c r="N36" i="9"/>
  <c r="L36" i="9"/>
  <c r="K36" i="9"/>
  <c r="J36" i="9"/>
  <c r="I36" i="9"/>
  <c r="H36" i="9"/>
  <c r="G36" i="9"/>
  <c r="F36" i="9"/>
  <c r="O35" i="9"/>
  <c r="N35" i="9"/>
  <c r="M35" i="9"/>
  <c r="L35" i="9"/>
  <c r="K35" i="9"/>
  <c r="J35" i="9"/>
  <c r="H35" i="9"/>
  <c r="F35" i="9"/>
  <c r="O34" i="9"/>
  <c r="N34" i="9"/>
  <c r="M34" i="9"/>
  <c r="L34" i="9"/>
  <c r="K34" i="9"/>
  <c r="J34" i="9"/>
  <c r="I34" i="9"/>
  <c r="H34" i="9"/>
  <c r="G34" i="9"/>
  <c r="F34" i="9"/>
  <c r="O33" i="9"/>
  <c r="N33" i="9"/>
  <c r="L33" i="9"/>
  <c r="J33" i="9"/>
  <c r="I33" i="9"/>
  <c r="H33" i="9"/>
  <c r="G33" i="9"/>
  <c r="F33" i="9"/>
  <c r="O32" i="9"/>
  <c r="N32" i="9"/>
  <c r="M32" i="9"/>
  <c r="L32" i="9"/>
  <c r="K32" i="9"/>
  <c r="J32" i="9"/>
  <c r="I32" i="9"/>
  <c r="H32" i="9"/>
  <c r="F32" i="9"/>
  <c r="N31" i="9"/>
  <c r="M31" i="9"/>
  <c r="L31" i="9"/>
  <c r="K31" i="9"/>
  <c r="J31" i="9"/>
  <c r="I31" i="9"/>
  <c r="H31" i="9"/>
  <c r="G31" i="9"/>
  <c r="F31" i="9"/>
  <c r="O30" i="9"/>
  <c r="N30" i="9"/>
  <c r="M30" i="9"/>
  <c r="L30" i="9"/>
  <c r="J30" i="9"/>
  <c r="H30" i="9"/>
  <c r="G30" i="9"/>
  <c r="F30" i="9"/>
  <c r="O29" i="9"/>
  <c r="N29" i="9"/>
  <c r="M29" i="9"/>
  <c r="L29" i="9"/>
  <c r="K29" i="9"/>
  <c r="J29" i="9"/>
  <c r="I29" i="9"/>
  <c r="H29" i="9"/>
  <c r="G29" i="9"/>
  <c r="F29" i="9"/>
  <c r="N28" i="9"/>
  <c r="L28" i="9"/>
  <c r="K28" i="9"/>
  <c r="J28" i="9"/>
  <c r="I28" i="9"/>
  <c r="H28" i="9"/>
  <c r="G28" i="9"/>
  <c r="F28" i="9"/>
  <c r="O27" i="9"/>
  <c r="N27" i="9"/>
  <c r="M27" i="9"/>
  <c r="L27" i="9"/>
  <c r="K27" i="9"/>
  <c r="J27" i="9"/>
  <c r="H27" i="9"/>
  <c r="F27" i="9"/>
  <c r="O26" i="9"/>
  <c r="N26" i="9"/>
  <c r="M26" i="9"/>
  <c r="L26" i="9"/>
  <c r="K26" i="9"/>
  <c r="J26" i="9"/>
  <c r="I26" i="9"/>
  <c r="H26" i="9"/>
  <c r="G26" i="9"/>
  <c r="F26" i="9"/>
  <c r="O25" i="9"/>
  <c r="N25" i="9"/>
  <c r="L25" i="9"/>
  <c r="J25" i="9"/>
  <c r="I25" i="9"/>
  <c r="H25" i="9"/>
  <c r="G25" i="9"/>
  <c r="F25" i="9"/>
  <c r="O24" i="9"/>
  <c r="N24" i="9"/>
  <c r="M24" i="9"/>
  <c r="L24" i="9"/>
  <c r="K24" i="9"/>
  <c r="J24" i="9"/>
  <c r="I24" i="9"/>
  <c r="H24" i="9"/>
  <c r="F24" i="9"/>
  <c r="N23" i="9"/>
  <c r="M23" i="9"/>
  <c r="L23" i="9"/>
  <c r="K23" i="9"/>
  <c r="J23" i="9"/>
  <c r="I23" i="9"/>
  <c r="H23" i="9"/>
  <c r="G23" i="9"/>
  <c r="F23" i="9"/>
  <c r="O22" i="9"/>
  <c r="N22" i="9"/>
  <c r="M22" i="9"/>
  <c r="L22" i="9"/>
  <c r="J22" i="9"/>
  <c r="H22" i="9"/>
  <c r="G22" i="9"/>
  <c r="F22" i="9"/>
  <c r="O21" i="9"/>
  <c r="N21" i="9"/>
  <c r="M21" i="9"/>
  <c r="L21" i="9"/>
  <c r="K21" i="9"/>
  <c r="J21" i="9"/>
  <c r="I21" i="9"/>
  <c r="H21" i="9"/>
  <c r="G21" i="9"/>
  <c r="F21" i="9"/>
  <c r="N20" i="9"/>
  <c r="L20" i="9"/>
  <c r="K20" i="9"/>
  <c r="J20" i="9"/>
  <c r="I20" i="9"/>
  <c r="H20" i="9"/>
  <c r="G20" i="9"/>
  <c r="F20" i="9"/>
  <c r="O19" i="9"/>
  <c r="N19" i="9"/>
  <c r="M19" i="9"/>
  <c r="L19" i="9"/>
  <c r="K19" i="9"/>
  <c r="J19" i="9"/>
  <c r="H19" i="9"/>
  <c r="F19" i="9"/>
  <c r="O18" i="9"/>
  <c r="N18" i="9"/>
  <c r="M18" i="9"/>
  <c r="L18" i="9"/>
  <c r="K18" i="9"/>
  <c r="J18" i="9"/>
  <c r="I18" i="9"/>
  <c r="H18" i="9"/>
  <c r="G18" i="9"/>
  <c r="F18" i="9"/>
  <c r="O17" i="9"/>
  <c r="N17" i="9"/>
  <c r="L17" i="9"/>
  <c r="J17" i="9"/>
  <c r="I17" i="9"/>
  <c r="H17" i="9"/>
  <c r="G17" i="9"/>
  <c r="F17" i="9"/>
  <c r="O16" i="9"/>
  <c r="N16" i="9"/>
  <c r="M16" i="9"/>
  <c r="L16" i="9"/>
  <c r="K16" i="9"/>
  <c r="J16" i="9"/>
  <c r="I16" i="9"/>
  <c r="H16" i="9"/>
  <c r="F16" i="9"/>
  <c r="N15" i="9"/>
  <c r="M15" i="9"/>
  <c r="L15" i="9"/>
  <c r="K15" i="9"/>
  <c r="J15" i="9"/>
  <c r="I15" i="9"/>
  <c r="H15" i="9"/>
  <c r="G15" i="9"/>
  <c r="F15" i="9"/>
  <c r="O14" i="9"/>
  <c r="N14" i="9"/>
  <c r="M14" i="9"/>
  <c r="L14" i="9"/>
  <c r="J14" i="9"/>
  <c r="H14" i="9"/>
  <c r="G14" i="9"/>
  <c r="F14" i="9"/>
  <c r="O13" i="9"/>
  <c r="N13" i="9"/>
  <c r="M13" i="9"/>
  <c r="L13" i="9"/>
  <c r="K13" i="9"/>
  <c r="J13" i="9"/>
  <c r="I13" i="9"/>
  <c r="H13" i="9"/>
  <c r="G13" i="9"/>
  <c r="F13" i="9"/>
  <c r="N12" i="9"/>
  <c r="L12" i="9"/>
  <c r="K12" i="9"/>
  <c r="J12" i="9"/>
  <c r="I12" i="9"/>
  <c r="H12" i="9"/>
  <c r="G12" i="9"/>
  <c r="K52" i="9" l="1"/>
  <c r="G54" i="9"/>
  <c r="M55" i="9"/>
  <c r="I57" i="9"/>
  <c r="O58" i="9"/>
  <c r="K60" i="9"/>
  <c r="G62" i="9"/>
  <c r="M63" i="9"/>
  <c r="I65" i="9"/>
  <c r="O66" i="9"/>
  <c r="K68" i="9"/>
  <c r="G70" i="9"/>
  <c r="M71" i="9"/>
  <c r="I73" i="9"/>
  <c r="O74" i="9"/>
  <c r="K76" i="9"/>
  <c r="G78" i="9"/>
  <c r="M79" i="9"/>
  <c r="I81" i="9"/>
  <c r="O82" i="9"/>
  <c r="K84" i="9"/>
  <c r="G86" i="9"/>
  <c r="M87" i="9"/>
  <c r="I89" i="9"/>
  <c r="O90" i="9"/>
  <c r="K92" i="9"/>
  <c r="G94" i="9"/>
  <c r="M95" i="9"/>
  <c r="I97" i="9"/>
  <c r="O98" i="9"/>
  <c r="K100" i="9"/>
  <c r="G102" i="9"/>
  <c r="M103" i="9"/>
  <c r="I105" i="9"/>
  <c r="O106" i="9"/>
  <c r="K108" i="9"/>
  <c r="G110" i="9"/>
  <c r="M111" i="9"/>
  <c r="I113" i="9"/>
  <c r="O114" i="9"/>
  <c r="K116" i="9"/>
  <c r="L92" i="9"/>
  <c r="H94" i="9"/>
  <c r="N95" i="9"/>
  <c r="J97" i="9"/>
  <c r="F99" i="9"/>
  <c r="L100" i="9"/>
  <c r="H102" i="9"/>
  <c r="N103" i="9"/>
  <c r="J105" i="9"/>
  <c r="F107" i="9"/>
  <c r="L108" i="9"/>
  <c r="H110" i="9"/>
  <c r="N111" i="9"/>
  <c r="J113" i="9"/>
  <c r="F115" i="9"/>
  <c r="L116" i="9"/>
  <c r="M12" i="9"/>
  <c r="I14" i="9"/>
  <c r="O15" i="9"/>
  <c r="K17" i="9"/>
  <c r="G19" i="9"/>
  <c r="M20" i="9"/>
  <c r="I22" i="9"/>
  <c r="O23" i="9"/>
  <c r="K25" i="9"/>
  <c r="G27" i="9"/>
  <c r="M28" i="9"/>
  <c r="I30" i="9"/>
  <c r="O31" i="9"/>
  <c r="K33" i="9"/>
  <c r="G35" i="9"/>
  <c r="M36" i="9"/>
  <c r="I38" i="9"/>
  <c r="O39" i="9"/>
  <c r="K41" i="9"/>
  <c r="G43" i="9"/>
  <c r="M44" i="9"/>
  <c r="I46" i="9"/>
  <c r="O47" i="9"/>
  <c r="K49" i="9"/>
  <c r="G51" i="9"/>
  <c r="M52" i="9"/>
  <c r="I54" i="9"/>
  <c r="O55" i="9"/>
  <c r="K57" i="9"/>
  <c r="G59" i="9"/>
  <c r="M60" i="9"/>
  <c r="I62" i="9"/>
  <c r="O63" i="9"/>
  <c r="K65" i="9"/>
  <c r="G67" i="9"/>
  <c r="M68" i="9"/>
  <c r="I70" i="9"/>
  <c r="O71" i="9"/>
  <c r="K73" i="9"/>
  <c r="G75" i="9"/>
  <c r="M76" i="9"/>
  <c r="I78" i="9"/>
  <c r="O79" i="9"/>
  <c r="K81" i="9"/>
  <c r="G83" i="9"/>
  <c r="M84" i="9"/>
  <c r="I86" i="9"/>
  <c r="O87" i="9"/>
  <c r="K89" i="9"/>
  <c r="G91" i="9"/>
  <c r="M92" i="9"/>
  <c r="I94" i="9"/>
  <c r="O95" i="9"/>
  <c r="K97" i="9"/>
  <c r="G99" i="9"/>
  <c r="M100" i="9"/>
  <c r="I102" i="9"/>
  <c r="O103" i="9"/>
  <c r="K105" i="9"/>
  <c r="G107" i="9"/>
  <c r="M108" i="9"/>
  <c r="I110" i="9"/>
  <c r="O111" i="9"/>
  <c r="K113" i="9"/>
  <c r="G115" i="9"/>
  <c r="M116" i="9"/>
  <c r="F88" i="9"/>
  <c r="L89" i="9"/>
  <c r="H91" i="9"/>
  <c r="N92" i="9"/>
  <c r="J94" i="9"/>
  <c r="F96" i="9"/>
  <c r="L97" i="9"/>
  <c r="H99" i="9"/>
  <c r="N100" i="9"/>
  <c r="J102" i="9"/>
  <c r="F104" i="9"/>
  <c r="L105" i="9"/>
  <c r="H107" i="9"/>
  <c r="N108" i="9"/>
  <c r="J110" i="9"/>
  <c r="F112" i="9"/>
  <c r="L113" i="9"/>
  <c r="H115" i="9"/>
  <c r="N116" i="9"/>
  <c r="O12" i="9"/>
  <c r="K14" i="9"/>
  <c r="G16" i="9"/>
  <c r="M17" i="9"/>
  <c r="I19" i="9"/>
  <c r="O20" i="9"/>
  <c r="K22" i="9"/>
  <c r="G24" i="9"/>
  <c r="M25" i="9"/>
  <c r="I27" i="9"/>
  <c r="O28" i="9"/>
  <c r="K30" i="9"/>
  <c r="G32" i="9"/>
  <c r="M33" i="9"/>
  <c r="I35" i="9"/>
  <c r="O36" i="9"/>
  <c r="K38" i="9"/>
  <c r="G40" i="9"/>
  <c r="M41" i="9"/>
  <c r="I43" i="9"/>
  <c r="O44" i="9"/>
  <c r="K46" i="9"/>
  <c r="G48" i="9"/>
  <c r="M49" i="9"/>
  <c r="I51" i="9"/>
  <c r="O52" i="9"/>
  <c r="K54" i="9"/>
  <c r="G56" i="9"/>
  <c r="M57" i="9"/>
  <c r="I59" i="9"/>
  <c r="O60" i="9"/>
  <c r="K62" i="9"/>
  <c r="G64" i="9"/>
  <c r="M65" i="9"/>
  <c r="I67" i="9"/>
  <c r="O68" i="9"/>
  <c r="K70" i="9"/>
  <c r="G72" i="9"/>
  <c r="M73" i="9"/>
  <c r="I75" i="9"/>
  <c r="O76" i="9"/>
  <c r="K78" i="9"/>
  <c r="G80" i="9"/>
  <c r="M81" i="9"/>
  <c r="I83" i="9"/>
  <c r="O84" i="9"/>
  <c r="K86" i="9"/>
  <c r="G88" i="9"/>
  <c r="M89" i="9"/>
  <c r="I91" i="9"/>
  <c r="O92" i="9"/>
  <c r="K94" i="9"/>
  <c r="G96" i="9"/>
  <c r="M97" i="9"/>
  <c r="I99" i="9"/>
  <c r="O100" i="9"/>
  <c r="K102" i="9"/>
  <c r="G104" i="9"/>
  <c r="M105" i="9"/>
  <c r="I107" i="9"/>
  <c r="O108" i="9"/>
  <c r="K110" i="9"/>
  <c r="G112" i="9"/>
  <c r="M113" i="9"/>
  <c r="I115" i="9"/>
  <c r="O116"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6D13A0D-45CC-4CA1-91F0-BB0B46D9AD34}"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832EC82-9FC3-43C0-91FD-0CD01B748851}" name="WorksheetConnection_Copy of Inventory Management.xlsm!TblStokAkhir" type="102" refreshedVersion="7" minRefreshableVersion="5">
    <extLst>
      <ext xmlns:x15="http://schemas.microsoft.com/office/spreadsheetml/2010/11/main" uri="{DE250136-89BD-433C-8126-D09CA5730AF9}">
        <x15:connection id="TblStokAkhir">
          <x15:rangePr sourceName="_xlcn.WorksheetConnection_CopyofInventoryManagement.xlsmTblStokAkhir1"/>
        </x15:connection>
      </ext>
    </extLst>
  </connection>
  <connection id="3" xr16:uid="{E0576B1E-F970-4174-BA9A-9CEF20E1CC60}" name="WorksheetConnection_Inventory Management 2.xlsx!TblTransaksi" type="102" refreshedVersion="7" minRefreshableVersion="5">
    <extLst>
      <ext xmlns:x15="http://schemas.microsoft.com/office/spreadsheetml/2010/11/main" uri="{DE250136-89BD-433C-8126-D09CA5730AF9}">
        <x15:connection id="TblTransaksi">
          <x15:rangePr sourceName="_xlcn.WorksheetConnection_InventoryManagement2.xlsxTblTransaksi1"/>
        </x15:connection>
      </ext>
    </extLst>
  </connection>
  <connection id="4" xr16:uid="{2D14DEE0-DB40-481A-B651-47EE74C66B9E}" name="WorksheetConnection_Table_Barang" type="102" refreshedVersion="7" minRefreshableVersion="5">
    <extLst>
      <ext xmlns:x15="http://schemas.microsoft.com/office/spreadsheetml/2010/11/main" uri="{DE250136-89BD-433C-8126-D09CA5730AF9}">
        <x15:connection id="Table_Barang">
          <x15:rangePr sourceName="_xlcn.WorksheetConnection_Table_Barang1"/>
        </x15:connection>
      </ext>
    </extLst>
  </connection>
</connections>
</file>

<file path=xl/metadata.xml><?xml version="1.0" encoding="utf-8"?>
<metadata xmlns="http://schemas.openxmlformats.org/spreadsheetml/2006/main">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TblTransaksi].[Jenis Transaksi].[All]}"/>
  </metadataStrings>
  <mdxMetadata count="1">
    <mdx n="0" f="s">
      <ms ns="1" c="0"/>
    </mdx>
  </mdxMetadata>
  <futureMetadata name="XLDAPR" count="1">
    <bk>
      <extLst>
        <ext xmlns:xda="http://schemas.microsoft.com/office/spreadsheetml/2017/dynamicarray"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<sst xmlns="http://schemas.openxmlformats.org/spreadsheetml/2006/main" count="1150" uniqueCount="220">
  <si>
    <t>Kode Barang</t>
  </si>
  <si>
    <t>Nama Barang</t>
  </si>
  <si>
    <t>Satuan</t>
  </si>
  <si>
    <t>Harga Satuan</t>
  </si>
  <si>
    <t>Stok Awal</t>
  </si>
  <si>
    <t>Stok Minimum</t>
  </si>
  <si>
    <t>Kategori</t>
  </si>
  <si>
    <t>ATK</t>
  </si>
  <si>
    <t>Elektronik</t>
  </si>
  <si>
    <t>Kebersihan</t>
  </si>
  <si>
    <t>Arsip</t>
  </si>
  <si>
    <t>Lainnya</t>
  </si>
  <si>
    <t>Pcs</t>
  </si>
  <si>
    <t>Unit</t>
  </si>
  <si>
    <t>Liter</t>
  </si>
  <si>
    <t>Pack</t>
  </si>
  <si>
    <t>Set</t>
  </si>
  <si>
    <t>Box</t>
  </si>
  <si>
    <t>Roll</t>
  </si>
  <si>
    <t>Tanggal</t>
  </si>
  <si>
    <t>Jenis Transaksi</t>
  </si>
  <si>
    <t>Jumlah</t>
  </si>
  <si>
    <t>Total Harga</t>
  </si>
  <si>
    <t>ARS005</t>
  </si>
  <si>
    <t>PER010</t>
  </si>
  <si>
    <t>ELE015</t>
  </si>
  <si>
    <t>ATK018</t>
  </si>
  <si>
    <t>ARS023</t>
  </si>
  <si>
    <t>KEB024</t>
  </si>
  <si>
    <t>ATK029</t>
  </si>
  <si>
    <t>LAI039</t>
  </si>
  <si>
    <t>ATK041</t>
  </si>
  <si>
    <t>KEB067</t>
  </si>
  <si>
    <t>ATK079</t>
  </si>
  <si>
    <t>ARS080</t>
  </si>
  <si>
    <t>ATK084</t>
  </si>
  <si>
    <t>Spidol</t>
  </si>
  <si>
    <t>Kertas HVS</t>
  </si>
  <si>
    <t>Kertas Arsip</t>
  </si>
  <si>
    <t>Buku Tulis</t>
  </si>
  <si>
    <t>Map Kertas</t>
  </si>
  <si>
    <t>Kursi Plastik</t>
  </si>
  <si>
    <t>Double Tape</t>
  </si>
  <si>
    <t>Karet Gelang</t>
  </si>
  <si>
    <t>Pel Lantai</t>
  </si>
  <si>
    <t>Binder Clip</t>
  </si>
  <si>
    <t>Pulpen Biru</t>
  </si>
  <si>
    <t>Benang</t>
  </si>
  <si>
    <t>Amplop Coklat</t>
  </si>
  <si>
    <t>Sabun Lantai</t>
  </si>
  <si>
    <t>Headset</t>
  </si>
  <si>
    <t>Map Plastik</t>
  </si>
  <si>
    <t>Kain Lap</t>
  </si>
  <si>
    <t>Kabel HDMI</t>
  </si>
  <si>
    <t>Penggaris 30cm</t>
  </si>
  <si>
    <t>Pulpen Hitam</t>
  </si>
  <si>
    <t>Papan Tulis</t>
  </si>
  <si>
    <t>Binder Arsip</t>
  </si>
  <si>
    <t>Penghapus</t>
  </si>
  <si>
    <t>Plastik Klip</t>
  </si>
  <si>
    <t>Lemari Arsip</t>
  </si>
  <si>
    <t>Disinfektan</t>
  </si>
  <si>
    <t>Lemari Besi</t>
  </si>
  <si>
    <t>Lampu LED</t>
  </si>
  <si>
    <t>File Dividers</t>
  </si>
  <si>
    <t>Stopmap</t>
  </si>
  <si>
    <t>Keyboard USB</t>
  </si>
  <si>
    <t>Spons</t>
  </si>
  <si>
    <t>Tisu</t>
  </si>
  <si>
    <t>Lakban</t>
  </si>
  <si>
    <t>Pensil HB</t>
  </si>
  <si>
    <t>Rak Sepatu</t>
  </si>
  <si>
    <t>Meja Rapat</t>
  </si>
  <si>
    <t>Kursi Rapat</t>
  </si>
  <si>
    <t>Ordner</t>
  </si>
  <si>
    <t>Charger HP</t>
  </si>
  <si>
    <t>Sumbu Kompor</t>
  </si>
  <si>
    <t>Tali Rafiah</t>
  </si>
  <si>
    <t>ARS001</t>
  </si>
  <si>
    <t>PER002</t>
  </si>
  <si>
    <t>ELE003</t>
  </si>
  <si>
    <t>KEB004</t>
  </si>
  <si>
    <t>ARS006</t>
  </si>
  <si>
    <t>ARS007</t>
  </si>
  <si>
    <t>LAI008</t>
  </si>
  <si>
    <t>KEB009</t>
  </si>
  <si>
    <t>PER011</t>
  </si>
  <si>
    <t>ATK012</t>
  </si>
  <si>
    <t>ELE013</t>
  </si>
  <si>
    <t>ATK014</t>
  </si>
  <si>
    <t>ATK016</t>
  </si>
  <si>
    <t>LAI017</t>
  </si>
  <si>
    <t>ARS019</t>
  </si>
  <si>
    <t>KEB020</t>
  </si>
  <si>
    <t>PER021</t>
  </si>
  <si>
    <t>LAI022</t>
  </si>
  <si>
    <t>KEB025</t>
  </si>
  <si>
    <t>LAI026</t>
  </si>
  <si>
    <t>ELE027</t>
  </si>
  <si>
    <t>ATK028</t>
  </si>
  <si>
    <t>PER030</t>
  </si>
  <si>
    <t>ELE031</t>
  </si>
  <si>
    <t>ATK032</t>
  </si>
  <si>
    <t>PER033</t>
  </si>
  <si>
    <t>LAI034</t>
  </si>
  <si>
    <t>ELE035</t>
  </si>
  <si>
    <t>ARS036</t>
  </si>
  <si>
    <t>ARS037</t>
  </si>
  <si>
    <t>ELE038</t>
  </si>
  <si>
    <t>PER040</t>
  </si>
  <si>
    <t>ATK042</t>
  </si>
  <si>
    <t>LAI043</t>
  </si>
  <si>
    <t>LAI044</t>
  </si>
  <si>
    <t>PER045</t>
  </si>
  <si>
    <t>PER046</t>
  </si>
  <si>
    <t>ARS047</t>
  </si>
  <si>
    <t>PER048</t>
  </si>
  <si>
    <t>ELE049</t>
  </si>
  <si>
    <t>PER050</t>
  </si>
  <si>
    <t>LAI051</t>
  </si>
  <si>
    <t>PER052</t>
  </si>
  <si>
    <t>PER053</t>
  </si>
  <si>
    <t>ATK054</t>
  </si>
  <si>
    <t>ARS055</t>
  </si>
  <si>
    <t>ARS056</t>
  </si>
  <si>
    <t>ATK057</t>
  </si>
  <si>
    <t>LAI058</t>
  </si>
  <si>
    <t>PER059</t>
  </si>
  <si>
    <t>ARS060</t>
  </si>
  <si>
    <t>ATK061</t>
  </si>
  <si>
    <t>ATK062</t>
  </si>
  <si>
    <t>ATK063</t>
  </si>
  <si>
    <t>KEB064</t>
  </si>
  <si>
    <t>ATK065</t>
  </si>
  <si>
    <t>KEB066</t>
  </si>
  <si>
    <t>ELE068</t>
  </si>
  <si>
    <t>ARS069</t>
  </si>
  <si>
    <t>ATK070</t>
  </si>
  <si>
    <t>ARS071</t>
  </si>
  <si>
    <t>PER072</t>
  </si>
  <si>
    <t>ELE073</t>
  </si>
  <si>
    <t>LAI074</t>
  </si>
  <si>
    <t>LAI075</t>
  </si>
  <si>
    <t>LAI076</t>
  </si>
  <si>
    <t>ELE077</t>
  </si>
  <si>
    <t>PER078</t>
  </si>
  <si>
    <t>PER081</t>
  </si>
  <si>
    <t>KEB082</t>
  </si>
  <si>
    <t>PER083</t>
  </si>
  <si>
    <t>ELE085</t>
  </si>
  <si>
    <t>ATK086</t>
  </si>
  <si>
    <t>ELE087</t>
  </si>
  <si>
    <t>ELE088</t>
  </si>
  <si>
    <t>ARS089</t>
  </si>
  <si>
    <t>LAI090</t>
  </si>
  <si>
    <t>ATK091</t>
  </si>
  <si>
    <t>ATK092</t>
  </si>
  <si>
    <t>KEB093</t>
  </si>
  <si>
    <t>ATK094</t>
  </si>
  <si>
    <t>PER095</t>
  </si>
  <si>
    <t>ATK096</t>
  </si>
  <si>
    <t>KEB097</t>
  </si>
  <si>
    <t>PER098</t>
  </si>
  <si>
    <t>PER099</t>
  </si>
  <si>
    <t>ARS100</t>
  </si>
  <si>
    <t>Meja Kerja</t>
  </si>
  <si>
    <t>Kabel Ties</t>
  </si>
  <si>
    <t>Mouse Wireless</t>
  </si>
  <si>
    <t>Adaptor 5V</t>
  </si>
  <si>
    <t>Kursi Kantor</t>
  </si>
  <si>
    <t>Selotip</t>
  </si>
  <si>
    <t>Rak Buku</t>
  </si>
  <si>
    <t>Clip Folder</t>
  </si>
  <si>
    <t>Kabel LAN</t>
  </si>
  <si>
    <t>Perabotan</t>
  </si>
  <si>
    <t xml:space="preserve"> </t>
  </si>
  <si>
    <t>Nama barang</t>
  </si>
  <si>
    <t>Total Masuk</t>
  </si>
  <si>
    <t>Total keluar</t>
  </si>
  <si>
    <t>Stok Akhir</t>
  </si>
  <si>
    <t>Status</t>
  </si>
  <si>
    <t>Habis</t>
  </si>
  <si>
    <t>Aman</t>
  </si>
  <si>
    <t>Hampir Habis</t>
  </si>
  <si>
    <t>Total Barang</t>
  </si>
  <si>
    <t>30/11/2025</t>
  </si>
  <si>
    <t>Masuk</t>
  </si>
  <si>
    <t>Keluar</t>
  </si>
  <si>
    <t>Menipis</t>
  </si>
  <si>
    <t>ATK097</t>
  </si>
  <si>
    <t>Pulpen Merah</t>
  </si>
  <si>
    <t>KEB098</t>
  </si>
  <si>
    <t>Spons Besi</t>
  </si>
  <si>
    <t>ATK098</t>
  </si>
  <si>
    <t>Tas</t>
  </si>
  <si>
    <t/>
  </si>
  <si>
    <t>Total Keluar</t>
  </si>
  <si>
    <t>Sotk Akhir</t>
  </si>
  <si>
    <t xml:space="preserve">  </t>
  </si>
  <si>
    <t>Jumlah dari Jumlah</t>
  </si>
  <si>
    <t>KEB099</t>
  </si>
  <si>
    <t>Shampo Detol</t>
  </si>
  <si>
    <t>Sum of Total Harga</t>
  </si>
  <si>
    <t>total entri</t>
  </si>
  <si>
    <t>masuk</t>
  </si>
  <si>
    <t>keluar</t>
  </si>
  <si>
    <t>ratio</t>
  </si>
  <si>
    <t>Nilai keluar</t>
  </si>
  <si>
    <t>Perlu order</t>
  </si>
  <si>
    <t>data min</t>
  </si>
  <si>
    <t>QTY PERLU ORD</t>
  </si>
  <si>
    <t>QTY MIN</t>
  </si>
  <si>
    <t>HARGA RTA ITM</t>
  </si>
  <si>
    <t>All</t>
  </si>
  <si>
    <t>Count of Kode Barang</t>
  </si>
  <si>
    <t>ATK099</t>
  </si>
  <si>
    <t>Tinta Spidol Hitam</t>
  </si>
  <si>
    <t>Row Labels</t>
  </si>
  <si>
    <t>Column Labels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</si>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</sst>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Rp&quot;* #,##0.00_-;\-&quot;Rp&quot;* #,##0.00_-;_-&quot;Rp&quot;* &quot;-&quot;??_-;_-@_-"/>
    <numFmt numFmtId="164" formatCode="_-[$Rp-421]* #,##0.00_-;\-[$Rp-421]* #,##0.00_-;_-[$Rp-421]* &quot;-&quot;??_-;_-@_-"/>
    <numFmt numFmtId="165" formatCode="_-[$Rp-421]* #,##0_-;\-[$Rp-421]* #,##0_-;_-[$Rp-421]* &quot;-&quot;??_-;_-@_-"/>
    <numFmt numFmtId="166" formatCode="_-[$Rp-3809]* #,##0.00_-;\-[$Rp-3809]* #,##0.00_-;_-[$Rp-3809]* &quot;-&quot;??_-;_-@_-"/>
  </numFmts>
  <fonts count="9" x14ac:knownFonts="1">
    <font>
      <sz val="11"/>
      <color theme="1"/>
      <name val="Calibri"/>
      <family val="2"/>
      <scheme val="minor"/>
    </font>
    <font>
      <sz val="12"/>
      <color theme="1"/>
      <name val="Times New Roman"/>
      <family val="1"/>
    </font>
    <font>
      <b/>
      <sz val="12"/>
      <color theme="1"/>
      <name val="Times New Roman"/>
      <family val="1"/>
    </font>
    <font>
      <b/>
      <sz val="24"/>
      <color theme="1"/>
      <name val="Times New Roman"/>
      <family val="1"/>
    </font>
    <font>
      <b/>
      <sz val="12"/>
      <color theme="0"/>
      <name val="Times New Roman"/>
      <family val="1"/>
    </font>
    <font>
      <sz val="8"/>
      <name val="Calibri"/>
      <family val="2"/>
      <scheme val="minor"/>
    </font>
    <font>
      <sz val="11"/>
      <color theme="1"/>
      <name val="Calibri"/>
      <family val="2"/>
      <scheme val="minor"/>
    </font>
    <font>
      <u/>
      <sz val="11"/>
      <color theme="10"/>
      <name val="Calibri"/>
      <family val="2"/>
      <scheme val="minor"/>
    </font>
    <font>
      <b/>
      <sz val="12"/>
      <name val="Times New Roman"/>
      <family val="1"/>
    </font>
  </fonts>
  <fills count="5">
    <fill>
      <patternFill patternType="none"/>
    </fill>
    <fill>
      <patternFill patternType="gray125"/>
    </fill>
    <fill>
      <patternFill patternType="solid">
        <fgColor theme="4"/>
        <bgColor indexed="64"/>
      </patternFill>
    </fill>
    <fill>
      <patternFill patternType="solid">
        <fgColor theme="1" tint="0.499984740745262"/>
        <bgColor indexed="64"/>
      </patternFill>
    </fill>
    <fill>
      <patternFill patternType="solid">
        <fgColor theme="4" tint="0.59999389629810485"/>
        <bgColor indexed="64"/>
      </patternFill>
    </fill>
  </fills>
  <borders count="12">
    <border>
      <left/>
      <right/>
      <top/>
      <bottom/>
      <diagonal/>
    </border>
    <border>
      <left style="thin">
        <color auto="1"/>
      </left>
      <right style="thin">
        <color auto="1"/>
      </right>
      <top style="thin">
        <color auto="1"/>
      </top>
      <bottom style="thin">
        <color auto="1"/>
      </bottom>
      <diagonal/>
    </border>
    <border>
      <left/>
      <right/>
      <top style="thin">
        <color theme="4"/>
      </top>
      <bottom/>
      <diagonal/>
    </border>
    <border>
      <left style="thin">
        <color theme="4"/>
      </left>
      <right/>
      <top style="thin">
        <color theme="4"/>
      </top>
      <bottom style="thin">
        <color theme="4" tint="0.39997558519241921"/>
      </bottom>
      <diagonal/>
    </border>
    <border>
      <left/>
      <right/>
      <top style="thin">
        <color theme="4"/>
      </top>
      <bottom style="thin">
        <color theme="4" tint="0.39997558519241921"/>
      </bottom>
      <diagonal/>
    </border>
    <border>
      <left/>
      <right style="thin">
        <color theme="4"/>
      </right>
      <top style="thin">
        <color theme="4"/>
      </top>
      <bottom style="thin">
        <color theme="4" tint="0.39997558519241921"/>
      </bottom>
      <diagonal/>
    </border>
    <border>
      <left style="thin">
        <color theme="4" tint="0.39997558519241921"/>
      </left>
      <right/>
      <top style="thin">
        <color theme="4"/>
      </top>
      <bottom style="thin">
        <color theme="4" tint="0.39997558519241921"/>
      </bottom>
      <diagonal/>
    </border>
    <border>
      <left style="thin">
        <color auto="1"/>
      </left>
      <right/>
      <top/>
      <bottom/>
      <diagonal/>
    </border>
    <border>
      <left/>
      <right/>
      <top/>
      <bottom style="thin">
        <color theme="4" tint="0.39997558519241921"/>
      </bottom>
      <diagonal/>
    </border>
    <border>
      <left/>
      <right style="thin">
        <color theme="4"/>
      </right>
      <top/>
      <bottom style="thin">
        <color theme="4" tint="0.39997558519241921"/>
      </bottom>
      <diagonal/>
    </border>
    <border>
      <left style="thin">
        <color theme="4"/>
      </left>
      <right/>
      <top style="thin">
        <color theme="4"/>
      </top>
      <bottom/>
      <diagonal/>
    </border>
    <border>
      <left/>
      <right style="thin">
        <color theme="4"/>
      </right>
      <top style="thin">
        <color theme="4"/>
      </top>
      <bottom/>
      <diagonal/>
    </border>
  </borders>
  <cellStyleXfs count="3">
    <xf numFmtId="0" fontId="0" fillId="0" borderId="0"/>
    <xf numFmtId="44" fontId="6" fillId="0" borderId="0" applyFont="0" applyFill="0" applyBorder="0" applyAlignment="0" applyProtection="0"/>
    <xf numFmtId="0" fontId="7" fillId="0" borderId="0" applyNumberFormat="0" applyFill="0" applyBorder="0" applyAlignment="0" applyProtection="0"/>
  </cellStyleXfs>
  <cellXfs count="66">
    <xf numFmtId="0" fontId="0" fillId="0" borderId="0" xfId="0"/>
    <xf numFmtId="0" fontId="1" fillId="0" borderId="0" xfId="0" applyFont="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165" fontId="0" fillId="0" borderId="0" xfId="0" applyNumberFormat="1"/>
    <xf numFmtId="0" fontId="4" fillId="2" borderId="1" xfId="0" applyFont="1" applyFill="1" applyBorder="1" applyAlignment="1">
      <alignment horizontal="center" vertical="center"/>
    </xf>
    <xf numFmtId="0" fontId="1" fillId="0" borderId="0" xfId="0" applyFont="1" applyAlignment="1">
      <alignment vertical="center"/>
    </xf>
    <xf numFmtId="0" fontId="0" fillId="0" borderId="0" xfId="0" applyAlignment="1">
      <alignment horizontal="center" vertical="center"/>
    </xf>
    <xf numFmtId="0" fontId="4" fillId="0" borderId="7" xfId="0" applyFont="1" applyBorder="1" applyAlignment="1">
      <alignment horizontal="center" vertical="center"/>
    </xf>
    <xf numFmtId="4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0" fillId="0" borderId="1" xfId="0" applyBorder="1"/>
    <xf numFmtId="10" fontId="0" fillId="0" borderId="1" xfId="0" applyNumberFormat="1" applyBorder="1"/>
    <xf numFmtId="44" fontId="0" fillId="0" borderId="1" xfId="0" applyNumberFormat="1" applyBorder="1"/>
    <xf numFmtId="0" fontId="0" fillId="3" borderId="0" xfId="0" applyFill="1"/>
    <xf numFmtId="0" fontId="7" fillId="3" borderId="0" xfId="2" applyFill="1"/>
    <xf numFmtId="44" fontId="0" fillId="0" borderId="0" xfId="0" applyNumberFormat="1" applyAlignment="1">
      <alignment horizontal="center" vertical="center"/>
    </xf>
    <xf numFmtId="0" fontId="0" fillId="0" borderId="0" xfId="0" applyAlignment="1">
      <alignment horizontal="center"/>
    </xf>
    <xf numFmtId="44" fontId="0" fillId="0" borderId="0" xfId="0" applyNumberFormat="1" applyAlignment="1">
      <alignment horizontal="center"/>
    </xf>
    <xf numFmtId="14" fontId="1" fillId="0" borderId="0" xfId="0" applyNumberFormat="1" applyFont="1" applyAlignment="1">
      <alignment horizontal="center"/>
    </xf>
    <xf numFmtId="0" fontId="1" fillId="0" borderId="0" xfId="0" applyFont="1" applyAlignment="1">
      <alignment horizontal="center"/>
    </xf>
    <xf numFmtId="0" fontId="1" fillId="0" borderId="0" xfId="0" applyFont="1" applyAlignment="1">
      <alignment horizontal="left"/>
    </xf>
    <xf numFmtId="44" fontId="1" fillId="0" borderId="0" xfId="0" applyNumberFormat="1" applyFont="1" applyAlignment="1">
      <alignment horizontal="center"/>
    </xf>
    <xf numFmtId="14" fontId="1" fillId="0" borderId="0" xfId="0" applyNumberFormat="1"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left" vertical="center"/>
    </xf>
    <xf numFmtId="44" fontId="1" fillId="0" borderId="0" xfId="0" applyNumberFormat="1" applyFont="1" applyAlignment="1">
      <alignment horizontal="center" vertical="center"/>
    </xf>
    <xf numFmtId="0" fontId="1" fillId="0" borderId="0" xfId="0" applyFont="1"/>
    <xf numFmtId="1" fontId="1" fillId="0" borderId="0" xfId="0" applyNumberFormat="1" applyFont="1" applyAlignment="1">
      <alignment horizontal="center" vertical="center"/>
    </xf>
    <xf numFmtId="0" fontId="1" fillId="0" borderId="2" xfId="0" applyFont="1" applyBorder="1" applyAlignment="1">
      <alignment horizontal="center"/>
    </xf>
    <xf numFmtId="1" fontId="1" fillId="0" borderId="0" xfId="0" applyNumberFormat="1" applyFont="1" applyAlignment="1">
      <alignment horizontal="center"/>
    </xf>
    <xf numFmtId="1" fontId="1" fillId="0" borderId="8" xfId="0" applyNumberFormat="1" applyFont="1" applyBorder="1" applyAlignment="1">
      <alignment horizontal="center"/>
    </xf>
    <xf numFmtId="1" fontId="1" fillId="0" borderId="9" xfId="0" applyNumberFormat="1" applyFont="1" applyBorder="1" applyAlignment="1">
      <alignment horizontal="center"/>
    </xf>
    <xf numFmtId="1" fontId="1" fillId="0" borderId="4" xfId="0" applyNumberFormat="1" applyFont="1" applyBorder="1" applyAlignment="1">
      <alignment horizontal="center"/>
    </xf>
    <xf numFmtId="1" fontId="1" fillId="0" borderId="5" xfId="0" applyNumberFormat="1" applyFont="1" applyBorder="1" applyAlignment="1">
      <alignment horizontal="center"/>
    </xf>
    <xf numFmtId="0" fontId="4" fillId="0" borderId="0" xfId="0" applyFont="1"/>
    <xf numFmtId="0" fontId="4" fillId="0" borderId="0" xfId="0" applyFont="1" applyAlignment="1">
      <alignment horizontal="left"/>
    </xf>
    <xf numFmtId="0" fontId="4" fillId="0" borderId="0" xfId="0" applyFont="1" applyAlignment="1">
      <alignment horizontal="center"/>
    </xf>
    <xf numFmtId="0" fontId="1" fillId="0" borderId="6" xfId="0" applyFont="1" applyBorder="1" applyAlignment="1">
      <alignment horizontal="center"/>
    </xf>
    <xf numFmtId="0" fontId="1" fillId="0" borderId="4" xfId="0" applyFont="1" applyBorder="1" applyAlignment="1">
      <alignment horizontal="left"/>
    </xf>
    <xf numFmtId="166" fontId="1" fillId="0" borderId="0" xfId="1" applyNumberFormat="1" applyFont="1" applyFill="1"/>
    <xf numFmtId="0" fontId="1" fillId="0" borderId="3" xfId="0" applyFont="1" applyBorder="1" applyAlignment="1">
      <alignment horizontal="center"/>
    </xf>
    <xf numFmtId="0" fontId="1" fillId="0" borderId="4" xfId="0" applyFont="1" applyBorder="1" applyAlignment="1">
      <alignment horizontal="center"/>
    </xf>
    <xf numFmtId="164" fontId="1" fillId="0" borderId="4" xfId="0" applyNumberFormat="1" applyFont="1" applyBorder="1" applyAlignment="1">
      <alignment horizontal="left" vertical="center"/>
    </xf>
    <xf numFmtId="0" fontId="1" fillId="0" borderId="2" xfId="0" applyFont="1" applyBorder="1" applyAlignment="1">
      <alignment horizontal="left"/>
    </xf>
    <xf numFmtId="0" fontId="1" fillId="0" borderId="8" xfId="0" applyFont="1" applyBorder="1" applyAlignment="1">
      <alignment horizontal="left"/>
    </xf>
    <xf numFmtId="0" fontId="1" fillId="0" borderId="10" xfId="0" applyFont="1" applyBorder="1" applyAlignment="1">
      <alignment horizontal="center"/>
    </xf>
    <xf numFmtId="164" fontId="1" fillId="0" borderId="2" xfId="0" applyNumberFormat="1" applyFont="1" applyBorder="1" applyAlignment="1">
      <alignment horizontal="left" vertical="center"/>
    </xf>
    <xf numFmtId="1" fontId="1" fillId="0" borderId="2" xfId="0" applyNumberFormat="1" applyFont="1" applyBorder="1" applyAlignment="1">
      <alignment horizontal="center"/>
    </xf>
    <xf numFmtId="1" fontId="1" fillId="0" borderId="11" xfId="0" applyNumberFormat="1" applyFont="1" applyBorder="1" applyAlignment="1">
      <alignment horizontal="center"/>
    </xf>
    <xf numFmtId="164" fontId="1" fillId="0" borderId="0" xfId="0" applyNumberFormat="1" applyFont="1" applyAlignment="1">
      <alignment horizontal="left" vertical="center"/>
    </xf>
    <xf numFmtId="1" fontId="1" fillId="0" borderId="0" xfId="0" applyNumberFormat="1" applyFont="1" applyBorder="1" applyAlignment="1">
      <alignment horizontal="center"/>
    </xf>
    <xf numFmtId="1" fontId="1" fillId="0" borderId="0" xfId="0" applyNumberFormat="1" applyFont="1" applyBorder="1" applyAlignment="1">
      <alignment horizontal="center" vertical="center"/>
    </xf>
    <xf numFmtId="0" fontId="1" fillId="0" borderId="0" xfId="0" applyFont="1" applyBorder="1" applyAlignment="1">
      <alignment horizontal="center"/>
    </xf>
    <xf numFmtId="0" fontId="8" fillId="4" borderId="1" xfId="0" applyFont="1" applyFill="1" applyBorder="1" applyAlignment="1">
      <alignment horizontal="center" vertical="center"/>
    </xf>
    <xf numFmtId="44" fontId="8" fillId="4" borderId="1" xfId="0" applyNumberFormat="1" applyFont="1" applyFill="1" applyBorder="1" applyAlignment="1">
      <alignment horizontal="center" vertical="center"/>
    </xf>
    <xf numFmtId="0" fontId="0" fillId="0" borderId="0" xfId="0" applyNumberFormat="1"/>
    <xf numFmtId="14" fontId="1" fillId="0" borderId="0" xfId="0" applyNumberFormat="1" applyFont="1" applyFill="1" applyAlignment="1">
      <alignment horizontal="center" vertical="center"/>
    </xf>
    <xf numFmtId="0" fontId="1" fillId="0" borderId="0" xfId="0" applyNumberFormat="1" applyFont="1" applyFill="1" applyAlignment="1">
      <alignment horizontal="center" vertical="center"/>
    </xf>
    <xf numFmtId="0" fontId="1" fillId="0" borderId="0" xfId="0" applyNumberFormat="1" applyFont="1" applyFill="1" applyAlignment="1">
      <alignment horizontal="left" vertical="center"/>
    </xf>
    <xf numFmtId="0" fontId="1" fillId="0" borderId="0" xfId="0" applyFont="1" applyFill="1" applyAlignment="1">
      <alignment horizontal="center" vertical="center"/>
    </xf>
    <xf numFmtId="44" fontId="1" fillId="0" borderId="0" xfId="0" applyNumberFormat="1" applyFont="1" applyFill="1" applyAlignment="1">
      <alignment horizontal="center" vertical="center"/>
    </xf>
    <xf numFmtId="0" fontId="3" fillId="0" borderId="0" xfId="0" applyFont="1" applyAlignment="1">
      <alignment horizontal="center"/>
    </xf>
    <xf numFmtId="44" fontId="1" fillId="0" borderId="0" xfId="0" applyNumberFormat="1" applyFont="1" applyBorder="1" applyAlignment="1">
      <alignment horizontal="center" vertical="center"/>
    </xf>
  </cellXfs>
  <cellStyles count="3">
    <cellStyle name="Currency" xfId="1" builtinId="4"/>
    <cellStyle name="Hyperlink" xfId="2" builtinId="8"/>
    <cellStyle name="Normal" xfId="0" builtinId="0"/>
  </cellStyles>
  <dxfs count="70">
    <dxf>
      <fill>
        <patternFill>
          <bgColor rgb="FF92D050"/>
        </patternFill>
      </fill>
    </dxf>
    <dxf>
      <fill>
        <patternFill>
          <bgColor rgb="FFFFFF00"/>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rgb="FF92D050"/>
        </patternFill>
      </fill>
    </dxf>
    <dxf>
      <fill>
        <patternFill>
          <bgColor rgb="FFC00000"/>
        </patternFill>
      </fill>
    </dxf>
    <dxf>
      <fill>
        <patternFill>
          <bgColor rgb="FFFFFF00"/>
        </patternFill>
      </fill>
    </dxf>
    <dxf>
      <border>
        <left style="thin">
          <color auto="1"/>
        </left>
        <right style="thin">
          <color auto="1"/>
        </right>
        <top style="thin">
          <color auto="1"/>
        </top>
        <bottom style="thin">
          <color auto="1"/>
        </bottom>
        <vertical/>
        <horizontal/>
      </border>
    </dxf>
    <dxf>
      <border>
        <left style="thin">
          <color theme="1"/>
        </left>
        <right style="thin">
          <color theme="1"/>
        </right>
        <top style="thin">
          <color theme="1"/>
        </top>
        <bottom style="thin">
          <color theme="1"/>
        </bottom>
        <vertical/>
        <horizontal/>
      </border>
    </dxf>
    <dxf>
      <fill>
        <patternFill>
          <bgColor rgb="FF92D050"/>
        </patternFill>
      </fill>
    </dxf>
    <dxf>
      <fill>
        <patternFill>
          <bgColor rgb="FFFFFF00"/>
        </patternFill>
      </fill>
    </dxf>
    <dxf>
      <fill>
        <patternFill>
          <bgColor rgb="FFFF00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rgb="FF92D050"/>
        </patternFill>
      </fill>
    </dxf>
    <dxf>
      <fill>
        <patternFill>
          <bgColor rgb="FFFFFF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4" formatCode="_-&quot;Rp&quot;* #,##0.00_-;\-&quot;Rp&quot;* #,##0.00_-;_-&quot;Rp&quot;* &quot;-&quot;??_-;_-@_-"/>
    </dxf>
    <dxf>
      <numFmt numFmtId="0" formatCode="General"/>
    </dxf>
    <dxf>
      <numFmt numFmtId="0" formatCode="General"/>
    </dxf>
    <dxf>
      <font>
        <b val="0"/>
        <i val="0"/>
        <strike val="0"/>
        <condense val="0"/>
        <extend val="0"/>
        <outline val="0"/>
        <shadow val="0"/>
        <u val="none"/>
        <vertAlign val="baseline"/>
        <sz val="12"/>
        <color theme="1"/>
        <name val="Times New Roman"/>
        <family val="1"/>
        <scheme val="none"/>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right style="thin">
          <color theme="4"/>
        </right>
        <top style="thin">
          <color theme="4"/>
        </top>
        <bottom/>
      </border>
    </dxf>
    <dxf>
      <font>
        <b val="0"/>
        <i val="0"/>
        <strike val="0"/>
        <condense val="0"/>
        <extend val="0"/>
        <outline val="0"/>
        <shadow val="0"/>
        <u val="none"/>
        <vertAlign val="baseline"/>
        <sz val="12"/>
        <color theme="1"/>
        <name val="Times New Roman"/>
        <family val="1"/>
        <scheme val="none"/>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right style="thin">
          <color theme="4"/>
        </right>
        <top style="thin">
          <color theme="4"/>
        </top>
        <bottom style="thin">
          <color theme="4" tint="0.39997558519241921"/>
        </bottom>
      </border>
    </dxf>
    <dxf>
      <font>
        <b val="0"/>
        <i val="0"/>
        <strike val="0"/>
        <condense val="0"/>
        <extend val="0"/>
        <outline val="0"/>
        <shadow val="0"/>
        <u val="none"/>
        <vertAlign val="baseline"/>
        <sz val="12"/>
        <color theme="1"/>
        <name val="Times New Roman"/>
        <family val="1"/>
        <scheme val="none"/>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2"/>
        <color theme="1"/>
        <name val="Times New Roman"/>
        <family val="1"/>
        <scheme val="none"/>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op>
        <bottom style="thin">
          <color theme="4" tint="0.39997558519241921"/>
        </bottom>
      </border>
    </dxf>
    <dxf>
      <font>
        <b val="0"/>
        <i val="0"/>
        <strike val="0"/>
        <condense val="0"/>
        <extend val="0"/>
        <outline val="0"/>
        <shadow val="0"/>
        <u val="none"/>
        <vertAlign val="baseline"/>
        <sz val="12"/>
        <color theme="1"/>
        <name val="Times New Roman"/>
        <family val="1"/>
        <scheme val="none"/>
      </font>
      <numFmt numFmtId="164" formatCode="_-[$Rp-421]* #,##0.00_-;\-[$Rp-421]* #,##0.00_-;_-[$Rp-421]* &quot;-&quot;??_-;_-@_-"/>
      <fill>
        <patternFill patternType="none">
          <fgColor indexed="64"/>
          <bgColor auto="1"/>
        </patternFill>
      </fill>
      <alignment horizontal="left" vertical="center"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2"/>
        <color theme="1"/>
        <name val="Times New Roman"/>
        <family val="1"/>
        <scheme val="none"/>
      </font>
      <numFmt numFmtId="164" formatCode="_-[$Rp-421]* #,##0.00_-;\-[$Rp-421]* #,##0.00_-;_-[$Rp-421]* &quot;-&quot;??_-;_-@_-"/>
      <fill>
        <patternFill patternType="none">
          <fgColor indexed="64"/>
          <bgColor auto="1"/>
        </patternFill>
      </fill>
      <alignment horizontal="left" vertical="center" textRotation="0" wrapText="0" indent="0" justifyLastLine="0" shrinkToFit="0" readingOrder="0"/>
      <border diagonalUp="0" diagonalDown="0" outline="0">
        <left/>
        <right/>
        <top style="thin">
          <color theme="4"/>
        </top>
        <bottom style="thin">
          <color theme="4" tint="0.39997558519241921"/>
        </bottom>
      </border>
    </dxf>
    <dxf>
      <font>
        <b val="0"/>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op>
        <bottom style="thin">
          <color theme="4" tint="0.39997558519241921"/>
        </bottom>
      </border>
    </dxf>
    <dxf>
      <font>
        <b val="0"/>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op>
        <bottom style="thin">
          <color theme="4" tint="0.39997558519241921"/>
        </bottom>
      </border>
    </dxf>
    <dxf>
      <font>
        <b val="0"/>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op>
        <bottom style="thin">
          <color theme="4" tint="0.39997558519241921"/>
        </bottom>
      </border>
    </dxf>
    <dxf>
      <font>
        <b val="0"/>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theme="4"/>
        </left>
        <right/>
        <top style="thin">
          <color theme="4"/>
        </top>
        <bottom/>
      </border>
    </dxf>
    <dxf>
      <font>
        <b val="0"/>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theme="4"/>
        </left>
        <right/>
        <top style="thin">
          <color theme="4"/>
        </top>
        <bottom style="thin">
          <color theme="4" tint="0.39997558519241921"/>
        </bottom>
      </border>
    </dxf>
    <dxf>
      <fill>
        <patternFill patternType="none">
          <fgColor indexed="64"/>
          <bgColor auto="1"/>
        </patternFill>
      </fill>
    </dxf>
    <dxf>
      <border outline="0">
        <left style="thin">
          <color theme="4"/>
        </left>
        <right style="thin">
          <color theme="4"/>
        </right>
        <top style="thin">
          <color theme="4"/>
        </top>
      </border>
    </dxf>
    <dxf>
      <fill>
        <patternFill patternType="none">
          <fgColor indexed="64"/>
          <bgColor auto="1"/>
        </patternFill>
      </fill>
    </dxf>
    <dxf>
      <font>
        <b/>
        <i val="0"/>
        <strike val="0"/>
        <condense val="0"/>
        <extend val="0"/>
        <outline val="0"/>
        <shadow val="0"/>
        <u val="none"/>
        <vertAlign val="baseline"/>
        <sz val="12"/>
        <color theme="0"/>
        <name val="Times New Roman"/>
        <family val="1"/>
        <scheme val="none"/>
      </font>
      <fill>
        <patternFill patternType="none">
          <fgColor indexed="64"/>
          <bgColor auto="1"/>
        </patternFill>
      </fill>
    </dxf>
    <dxf>
      <font>
        <strike val="0"/>
        <outline val="0"/>
        <shadow val="0"/>
        <u val="none"/>
        <vertAlign val="baseline"/>
        <sz val="12"/>
        <color theme="1"/>
        <name val="Times New Roman"/>
        <family val="1"/>
        <scheme val="none"/>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2"/>
        <color theme="1"/>
        <name val="Times New Roman"/>
        <family val="1"/>
        <scheme val="none"/>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right style="thin">
          <color theme="4"/>
        </right>
        <top style="thin">
          <color theme="4"/>
        </top>
        <bottom style="thin">
          <color theme="4" tint="0.39997558519241921"/>
        </bottom>
      </border>
    </dxf>
    <dxf>
      <font>
        <strike val="0"/>
        <outline val="0"/>
        <shadow val="0"/>
        <u val="none"/>
        <vertAlign val="baseline"/>
        <sz val="12"/>
        <color theme="1"/>
        <name val="Times New Roman"/>
        <family val="1"/>
        <scheme val="none"/>
      </font>
      <numFmt numFmtId="1"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2"/>
        <color theme="1"/>
        <name val="Times New Roman"/>
        <family val="1"/>
        <scheme val="none"/>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op>
        <bottom style="thin">
          <color theme="4" tint="0.39997558519241921"/>
        </bottom>
      </border>
    </dxf>
    <dxf>
      <font>
        <strike val="0"/>
        <outline val="0"/>
        <shadow val="0"/>
        <u val="none"/>
        <vertAlign val="baseline"/>
        <sz val="12"/>
        <color theme="1"/>
        <name val="Times New Roman"/>
        <family val="1"/>
        <scheme val="none"/>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2"/>
        <color theme="1"/>
        <name val="Times New Roman"/>
        <family val="1"/>
        <scheme val="none"/>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2"/>
        <color theme="1"/>
        <name val="Times New Roman"/>
        <family val="1"/>
        <scheme val="none"/>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op>
        <bottom/>
      </border>
    </dxf>
    <dxf>
      <font>
        <strike val="0"/>
        <outline val="0"/>
        <shadow val="0"/>
        <u val="none"/>
        <vertAlign val="baseline"/>
        <sz val="12"/>
        <color theme="1"/>
        <name val="Times New Roman"/>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op>
        <bottom/>
      </border>
    </dxf>
    <dxf>
      <font>
        <strike val="0"/>
        <outline val="0"/>
        <shadow val="0"/>
        <u val="none"/>
        <vertAlign val="baseline"/>
        <sz val="12"/>
        <color theme="1"/>
        <name val="Times New Roman"/>
        <family val="1"/>
        <scheme val="none"/>
      </font>
      <fill>
        <patternFill patternType="none">
          <fgColor indexed="64"/>
          <bgColor auto="1"/>
        </patternFill>
      </fill>
      <alignment horizontal="center" textRotation="0" wrapText="0" indent="0" justifyLastLine="0" shrinkToFit="0" readingOrder="0"/>
    </dxf>
    <dxf>
      <font>
        <strike val="0"/>
        <outline val="0"/>
        <shadow val="0"/>
        <u val="none"/>
        <vertAlign val="baseline"/>
        <sz val="12"/>
        <color theme="1"/>
        <name val="Times New Roman"/>
        <family val="1"/>
        <scheme val="none"/>
      </font>
      <fill>
        <patternFill patternType="none">
          <fgColor indexed="64"/>
          <bgColor auto="1"/>
        </patternFill>
      </fill>
      <alignment horizont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34" formatCode="_-&quot;Rp&quot;* #,##0.00_-;\-&quot;Rp&quot;* #,##0.00_-;_-&quot;Rp&quot;*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34" formatCode="_-&quot;Rp&quot;* #,##0.00_-;\-&quot;Rp&quot;* #,##0.00_-;_-&quot;Rp&quot;*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0" formatCode="General"/>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19" formatCode="dd/mm/yy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center" vertical="center" textRotation="0" wrapText="0" indent="0" justifyLastLine="0" shrinkToFit="0" readingOrder="0"/>
    </dxf>
    <dxf>
      <font>
        <b/>
        <i val="0"/>
        <sz val="11"/>
        <color rgb="FF262626"/>
        <name val="Calibri"/>
        <family val="2"/>
        <scheme val="minor"/>
      </font>
      <border>
        <vertical/>
        <horizontal/>
      </border>
    </dxf>
    <dxf>
      <font>
        <color rgb="FF262626"/>
      </font>
      <fill>
        <patternFill patternType="solid">
          <fgColor theme="0"/>
          <bgColor theme="0"/>
        </patternFill>
      </fill>
      <border diagonalUp="0" diagonalDown="0">
        <left/>
        <right/>
        <top/>
        <bottom/>
        <vertical/>
        <horizontal/>
      </border>
    </dxf>
    <dxf>
      <font>
        <b/>
        <i val="0"/>
        <color theme="1"/>
      </font>
      <fill>
        <patternFill patternType="none">
          <bgColor auto="1"/>
        </patternFill>
      </fill>
    </dxf>
    <dxf>
      <font>
        <color auto="1"/>
      </font>
      <fill>
        <patternFill>
          <bgColor theme="0"/>
        </patternFill>
      </fill>
      <border>
        <bottom/>
      </border>
    </dxf>
    <dxf>
      <font>
        <b/>
        <i val="0"/>
        <color rgb="FF222222"/>
      </font>
      <fill>
        <patternFill>
          <bgColor theme="0"/>
        </patternFill>
      </fill>
    </dxf>
    <dxf>
      <font>
        <color rgb="FF222222"/>
      </font>
      <fill>
        <patternFill>
          <bgColor theme="0"/>
        </patternFill>
      </fill>
    </dxf>
    <dxf>
      <fill>
        <patternFill>
          <bgColor rgb="FFFFFF00"/>
        </patternFill>
      </fill>
    </dxf>
  </dxfs>
  <tableStyles count="4" defaultTableStyle="TableStyleMedium2" defaultPivotStyle="PivotStyleLight16">
    <tableStyle name="Slicer Style 1" pivot="0" table="0" count="1" xr9:uid="{102C3DDA-AA20-4EC6-8D0F-3E21B3CFF62E}">
      <tableStyleElement type="wholeTable" dxfId="69"/>
    </tableStyle>
    <tableStyle name="Slicer Style 2" pivot="0" table="0" count="8" xr9:uid="{8CFF09B5-B2B6-4DBC-8244-D2F6710D9F85}">
      <tableStyleElement type="wholeTable" dxfId="68"/>
      <tableStyleElement type="headerRow" dxfId="67"/>
    </tableStyle>
    <tableStyle name="Slicer Style 3" pivot="0" table="0" count="8" xr9:uid="{05DA9DD9-C63B-4E2C-BC95-92A324719F1B}">
      <tableStyleElement type="wholeTable" dxfId="66"/>
      <tableStyleElement type="headerRow" dxfId="65"/>
    </tableStyle>
    <tableStyle name="Timeline Style 1" pivot="0" table="0" count="9" xr9:uid="{3C0E204D-7462-47C6-A914-21F9939F7416}">
      <tableStyleElement type="wholeTable" dxfId="64"/>
      <tableStyleElement type="headerRow" dxfId="63"/>
    </tableStyle>
  </tableStyles>
  <colors>
    <mruColors>
      <color rgb="FFBFBFBF"/>
      <color rgb="FF7C7C7C"/>
      <color rgb="FF3E3E3E"/>
      <color rgb="FFE5E5E5"/>
      <color rgb="FF5A5A5A"/>
      <color rgb="FF4A4A4A"/>
      <color rgb="FF3C3C3C"/>
      <color rgb="FF2F2F2F"/>
      <color rgb="FF262626"/>
      <color rgb="FF3A3A3A"/>
    </mruColors>
  </colors>
  <extLst>
    <ext xmlns:x14="http://schemas.microsoft.com/office/spreadsheetml/2009/9/main" uri="{46F421CA-312F-682f-3DD2-61675219B42D}">
      <x14:dxfs count="12">
        <dxf>
          <font>
            <color rgb="FF000000"/>
          </font>
          <fill>
            <patternFill>
              <bgColor rgb="FFDADADA"/>
            </patternFill>
          </fill>
        </dxf>
        <dxf>
          <font>
            <color rgb="FF3A3A3A"/>
          </font>
          <fill>
            <patternFill>
              <bgColor rgb="FFECECEC"/>
            </patternFill>
          </fill>
        </dxf>
        <dxf>
          <font>
            <color rgb="FF9E9E9E"/>
          </font>
          <fill>
            <patternFill>
              <bgColor rgb="FFF0F0F0"/>
            </patternFill>
          </fill>
        </dxf>
        <dxf>
          <font>
            <b/>
            <i val="0"/>
            <color rgb="FF000000"/>
          </font>
          <fill>
            <patternFill>
              <bgColor rgb="FFE4E4E4"/>
            </patternFill>
          </fill>
        </dxf>
        <dxf>
          <font>
            <color rgb="FF3A3A3A"/>
          </font>
          <fill>
            <patternFill>
              <bgColor rgb="FFFAFAFA"/>
            </patternFill>
          </fill>
        </dxf>
        <dxf>
          <font>
            <color rgb="FF1E1E1E"/>
          </font>
          <fill>
            <patternFill>
              <bgColor theme="0"/>
            </patternFill>
          </fill>
        </dxf>
        <dxf>
          <font>
            <color rgb="FFFFFFFF"/>
          </font>
          <fill>
            <patternFill>
              <bgColor rgb="FF515151"/>
            </patternFill>
          </fill>
        </dxf>
        <dxf>
          <font>
            <color rgb="FF222222"/>
          </font>
          <fill>
            <patternFill>
              <bgColor rgb="FFE8E8E8"/>
            </patternFill>
          </fill>
        </dxf>
        <dxf>
          <font>
            <color rgb="FFF0F0F0"/>
          </font>
          <fill>
            <patternFill>
              <bgColor rgb="FF6B6B6B"/>
            </patternFill>
          </fill>
          <border>
            <left style="thin">
              <color theme="0" tint="-0.24994659260841701"/>
            </left>
            <right style="thin">
              <color theme="0" tint="-0.24994659260841701"/>
            </right>
            <top style="thin">
              <color theme="0" tint="-0.24994659260841701"/>
            </top>
            <bottom style="thin">
              <color theme="0" tint="-0.24994659260841701"/>
            </bottom>
          </border>
        </dxf>
        <dxf>
          <font>
            <b/>
            <i val="0"/>
            <color theme="0"/>
          </font>
          <fill>
            <patternFill>
              <bgColor rgb="FF3E3E3E"/>
            </patternFill>
          </fill>
          <border>
            <left style="thin">
              <color theme="0" tint="-0.24994659260841701"/>
            </left>
            <right style="thin">
              <color theme="0" tint="-0.24994659260841701"/>
            </right>
            <top style="thin">
              <color theme="0" tint="-0.24994659260841701"/>
            </top>
            <bottom style="thin">
              <color theme="0" tint="-0.24994659260841701"/>
            </bottom>
          </border>
        </dxf>
        <dxf>
          <font>
            <color rgb="FFA8A8A8"/>
          </font>
          <fill>
            <patternFill>
              <bgColor rgb="FFD9D9D9"/>
            </patternFill>
          </fill>
        </dxf>
        <dxf>
          <font>
            <color rgb="FF222222"/>
          </font>
          <fill>
            <patternFill>
              <bgColor rgb="FFF5F5F5"/>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11"/>
            <x14:slicerStyleElement type="unselectedItemWithNoData" dxfId="10"/>
            <x14:slicerStyleElement type="selectedItemWithData" dxfId="9"/>
            <x14:slicerStyleElement type="selectedItemWithNoData" dxfId="8"/>
            <x14:slicerStyleElement type="hoveredUnselectedItemWithData" dxfId="7"/>
            <x14:slicerStyleElement type="hoveredSelectedItemWithData" dxfId="6"/>
          </x14:slicerStyleElements>
        </x14:slicerStyle>
        <x14:slicerStyle name="Slicer Style 3">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A0A4C193-F2C1-4fcb-8827-314CF55A85BB}">
      <x15:dxfs count="7">
        <dxf>
          <fill>
            <patternFill>
              <bgColor rgb="FFE5E5E5"/>
            </patternFill>
          </fill>
        </dxf>
        <dxf>
          <fill>
            <patternFill patternType="solid">
              <fgColor theme="0" tint="-0.14999847407452621"/>
              <bgColor theme="0" tint="-0.14999847407452621"/>
            </patternFill>
          </fill>
        </dxf>
        <dxf>
          <fill>
            <patternFill patternType="solid">
              <fgColor theme="0"/>
              <bgColor rgb="FF3E3E3E"/>
            </patternFill>
          </fill>
          <border>
            <left style="thin">
              <color rgb="FFBFBFBF"/>
            </left>
            <right style="thin">
              <color rgb="FFBFBFBF"/>
            </right>
            <top style="thin">
              <color rgb="FFBFBFBF"/>
            </top>
            <bottom style="thin">
              <color rgb="FFBFBFBF"/>
            </bottom>
          </border>
        </dxf>
        <dxf>
          <font>
            <sz val="9"/>
            <color rgb="FF5A5A5A"/>
            <name val="Calibri"/>
            <family val="2"/>
            <scheme val="minor"/>
          </font>
        </dxf>
        <dxf>
          <font>
            <sz val="9"/>
            <color rgb="FF4A4A4A"/>
            <name val="Calibri"/>
            <family val="2"/>
            <scheme val="minor"/>
          </font>
        </dxf>
        <dxf>
          <font>
            <sz val="9"/>
            <color rgb="FF3C3C3C"/>
            <name val="Calibri"/>
            <family val="2"/>
            <scheme val="minor"/>
          </font>
        </dxf>
        <dxf>
          <font>
            <sz val="10"/>
            <color rgb="FF2F2F2F"/>
            <name val="Calibri"/>
            <family val="2"/>
            <scheme val="minor"/>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3.xml"/><Relationship Id="rId18" Type="http://schemas.microsoft.com/office/2007/relationships/slicerCache" Target="slicerCaches/slicerCache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pivotCacheDefinition" Target="pivotCache/pivotCacheDefinition1.xml"/><Relationship Id="rId12" Type="http://schemas.microsoft.com/office/2007/relationships/slicerCache" Target="slicerCaches/slicerCache2.xml"/><Relationship Id="rId17" Type="http://schemas.microsoft.com/office/2007/relationships/slicerCache" Target="slicerCaches/slicerCache7.xml"/><Relationship Id="rId25" Type="http://schemas.openxmlformats.org/officeDocument/2006/relationships/calcChain" Target="calcChain.xml"/><Relationship Id="rId33"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connections" Target="connections.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powerPivotData" Target="model/item.data"/><Relationship Id="rId32" Type="http://schemas.openxmlformats.org/officeDocument/2006/relationships/customXml" Target="../customXml/item7.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pivotCacheDefinition" Target="pivotCache/pivotCacheDefinition4.xml"/><Relationship Id="rId19" Type="http://schemas.openxmlformats.org/officeDocument/2006/relationships/theme" Target="theme/theme1.xml"/><Relationship Id="rId3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4.xml"/><Relationship Id="rId22" Type="http://schemas.openxmlformats.org/officeDocument/2006/relationships/sharedStrings" Target="sharedStrings.xml"/><Relationship Id="rId27" Type="http://schemas.openxmlformats.org/officeDocument/2006/relationships/customXml" Target="../customXml/item2.xml"/><Relationship Id="rId30" Type="http://schemas.openxmlformats.org/officeDocument/2006/relationships/customXml" Target="../customXml/item5.xml"/><Relationship Id="rId8" Type="http://schemas.openxmlformats.org/officeDocument/2006/relationships/pivotCacheDefinition" Target="pivotCache/pivotCacheDefinition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System_Kel X.xlsm]Dapur!PivotTable5</c:name>
    <c:fmtId val="1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id-ID"/>
              <a:t>TOP</a:t>
            </a:r>
            <a:r>
              <a:rPr lang="id-ID" baseline="0"/>
              <a:t> 10 BARANG TERLARIS</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pivotFmt>
    </c:pivotFmts>
    <c:plotArea>
      <c:layout/>
      <c:barChart>
        <c:barDir val="bar"/>
        <c:grouping val="stacked"/>
        <c:varyColors val="0"/>
        <c:ser>
          <c:idx val="0"/>
          <c:order val="0"/>
          <c:tx>
            <c:strRef>
              <c:f>Dapur!$Y$4</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Dapur!$X$5:$X$15</c:f>
              <c:strCache>
                <c:ptCount val="10"/>
                <c:pt idx="0">
                  <c:v>Spons Besi</c:v>
                </c:pt>
                <c:pt idx="1">
                  <c:v>File Dividers</c:v>
                </c:pt>
                <c:pt idx="2">
                  <c:v>Rak Buku</c:v>
                </c:pt>
                <c:pt idx="3">
                  <c:v>Kursi Kantor</c:v>
                </c:pt>
                <c:pt idx="4">
                  <c:v>Ordner</c:v>
                </c:pt>
                <c:pt idx="5">
                  <c:v>Meja Rapat</c:v>
                </c:pt>
                <c:pt idx="6">
                  <c:v>Kabel HDMI</c:v>
                </c:pt>
                <c:pt idx="7">
                  <c:v>Penggaris 30cm</c:v>
                </c:pt>
                <c:pt idx="8">
                  <c:v>Disinfektan</c:v>
                </c:pt>
                <c:pt idx="9">
                  <c:v>Selotip</c:v>
                </c:pt>
              </c:strCache>
            </c:strRef>
          </c:cat>
          <c:val>
            <c:numRef>
              <c:f>Dapur!$Y$5:$Y$15</c:f>
              <c:numCache>
                <c:formatCode>General</c:formatCode>
                <c:ptCount val="10"/>
                <c:pt idx="0">
                  <c:v>280</c:v>
                </c:pt>
                <c:pt idx="1">
                  <c:v>250</c:v>
                </c:pt>
                <c:pt idx="2">
                  <c:v>167</c:v>
                </c:pt>
                <c:pt idx="3">
                  <c:v>150</c:v>
                </c:pt>
                <c:pt idx="4">
                  <c:v>135</c:v>
                </c:pt>
                <c:pt idx="5">
                  <c:v>100</c:v>
                </c:pt>
                <c:pt idx="6">
                  <c:v>96</c:v>
                </c:pt>
                <c:pt idx="7">
                  <c:v>89</c:v>
                </c:pt>
                <c:pt idx="8">
                  <c:v>73</c:v>
                </c:pt>
                <c:pt idx="9">
                  <c:v>71</c:v>
                </c:pt>
              </c:numCache>
            </c:numRef>
          </c:val>
          <c:extLst>
            <c:ext xmlns:c16="http://schemas.microsoft.com/office/drawing/2014/chart" uri="{C3380CC4-5D6E-409C-BE32-E72D297353CC}">
              <c16:uniqueId val="{00000000-2089-431D-A3FC-BD8F3C5AB7D9}"/>
            </c:ext>
          </c:extLst>
        </c:ser>
        <c:dLbls>
          <c:dLblPos val="ctr"/>
          <c:showLegendKey val="0"/>
          <c:showVal val="1"/>
          <c:showCatName val="0"/>
          <c:showSerName val="0"/>
          <c:showPercent val="0"/>
          <c:showBubbleSize val="0"/>
        </c:dLbls>
        <c:gapWidth val="150"/>
        <c:overlap val="100"/>
        <c:axId val="177600399"/>
        <c:axId val="177617039"/>
      </c:barChart>
      <c:catAx>
        <c:axId val="177600399"/>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id-ID"/>
                  <a:t>UNIT KELUAR</a:t>
                </a:r>
                <a:endParaRPr lang="en-ID"/>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7617039"/>
        <c:crosses val="autoZero"/>
        <c:auto val="1"/>
        <c:lblAlgn val="ctr"/>
        <c:lblOffset val="100"/>
        <c:noMultiLvlLbl val="0"/>
      </c:catAx>
      <c:valAx>
        <c:axId val="177617039"/>
        <c:scaling>
          <c:orientation val="minMax"/>
        </c:scaling>
        <c:delete val="1"/>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id-ID"/>
                  <a:t>JUMLAH TOTAL</a:t>
                </a:r>
                <a:endParaRPr lang="en-ID"/>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crossAx val="1776003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System_Kel X.xlsm]Dapur!PivotTable2</c:name>
    <c:fmtId val="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D"/>
              <a:t>KOMPOSISI INVENTARIS</a:t>
            </a:r>
            <a:r>
              <a:rPr lang="en-ID" baseline="0"/>
              <a:t> PER KATEGORI</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6.9305257900690254E-2"/>
              <c:y val="-8.275436650555027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454155234217028"/>
              <c:y val="-1.253695130544934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734795701971055"/>
              <c:y val="5.74626026920709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3022900819747105"/>
              <c:y val="7.742995531055135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9.4255150744938745E-2"/>
              <c:y val="-8.735183131141416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7.2077468216717872E-2"/>
              <c:y val="-0.105741690534869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Dapur!$R$3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0-3327-49C7-9128-F8465CCA3C4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F-3327-49C7-9128-F8465CCA3C4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E-3327-49C7-9128-F8465CCA3C4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dPt>
          <c:dLbls>
            <c:dLbl>
              <c:idx val="0"/>
              <c:layout>
                <c:manualLayout>
                  <c:x val="6.9305257900690254E-2"/>
                  <c:y val="-8.2754366505550278E-2"/>
                </c:manualLayout>
              </c:layout>
              <c:showLegendKey val="0"/>
              <c:showVal val="0"/>
              <c:showCatName val="1"/>
              <c:showSerName val="0"/>
              <c:showPercent val="1"/>
              <c:showBubbleSize val="0"/>
              <c:extLst>
                <c:ext xmlns:c15="http://schemas.microsoft.com/office/drawing/2012/chart" uri="{CE6537A1-D6FC-4f65-9D91-7224C49458BB}"/>
              </c:extLst>
            </c:dLbl>
            <c:dLbl>
              <c:idx val="1"/>
              <c:layout>
                <c:manualLayout>
                  <c:x val="0.12454155234217028"/>
                  <c:y val="-1.253695130544934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0-3327-49C7-9128-F8465CCA3C4A}"/>
                </c:ext>
              </c:extLst>
            </c:dLbl>
            <c:dLbl>
              <c:idx val="2"/>
              <c:layout>
                <c:manualLayout>
                  <c:x val="0.1734795701971055"/>
                  <c:y val="5.746260269207096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3327-49C7-9128-F8465CCA3C4A}"/>
                </c:ext>
              </c:extLst>
            </c:dLbl>
            <c:dLbl>
              <c:idx val="3"/>
              <c:layout>
                <c:manualLayout>
                  <c:x val="-0.13022900819747105"/>
                  <c:y val="7.742995531055135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3327-49C7-9128-F8465CCA3C4A}"/>
                </c:ext>
              </c:extLst>
            </c:dLbl>
            <c:dLbl>
              <c:idx val="4"/>
              <c:layout>
                <c:manualLayout>
                  <c:x val="-9.4255150744938745E-2"/>
                  <c:y val="-8.7351831311414163E-2"/>
                </c:manualLayout>
              </c:layout>
              <c:showLegendKey val="0"/>
              <c:showVal val="0"/>
              <c:showCatName val="1"/>
              <c:showSerName val="0"/>
              <c:showPercent val="1"/>
              <c:showBubbleSize val="0"/>
              <c:extLst>
                <c:ext xmlns:c15="http://schemas.microsoft.com/office/drawing/2012/chart" uri="{CE6537A1-D6FC-4f65-9D91-7224C49458BB}"/>
              </c:extLst>
            </c:dLbl>
            <c:dLbl>
              <c:idx val="5"/>
              <c:layout>
                <c:manualLayout>
                  <c:x val="-7.2077468216717872E-2"/>
                  <c:y val="-0.10574169053486977"/>
                </c:manualLayout>
              </c:layout>
              <c:showLegendKey val="0"/>
              <c:showVal val="0"/>
              <c:showCatName val="1"/>
              <c:showSerName val="0"/>
              <c:showPercent val="1"/>
              <c:showBubbleSize val="0"/>
              <c:extLst>
                <c:ext xmlns:c15="http://schemas.microsoft.com/office/drawing/2012/chart" uri="{CE6537A1-D6FC-4f65-9D91-7224C49458BB}"/>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Dapur!$Q$4:$Q$10</c:f>
              <c:strCache>
                <c:ptCount val="6"/>
                <c:pt idx="0">
                  <c:v>Arsip</c:v>
                </c:pt>
                <c:pt idx="1">
                  <c:v>ATK</c:v>
                </c:pt>
                <c:pt idx="2">
                  <c:v>Elektronik</c:v>
                </c:pt>
                <c:pt idx="3">
                  <c:v>Kebersihan</c:v>
                </c:pt>
                <c:pt idx="4">
                  <c:v>Lainnya</c:v>
                </c:pt>
                <c:pt idx="5">
                  <c:v>Perabotan</c:v>
                </c:pt>
              </c:strCache>
            </c:strRef>
          </c:cat>
          <c:val>
            <c:numRef>
              <c:f>Dapur!$R$4:$R$10</c:f>
              <c:numCache>
                <c:formatCode>0.00%</c:formatCode>
                <c:ptCount val="6"/>
                <c:pt idx="0">
                  <c:v>0.27744186653495051</c:v>
                </c:pt>
                <c:pt idx="1">
                  <c:v>0.15982363100300448</c:v>
                </c:pt>
                <c:pt idx="2">
                  <c:v>0.10402491050802486</c:v>
                </c:pt>
                <c:pt idx="3">
                  <c:v>0.13430321343780671</c:v>
                </c:pt>
                <c:pt idx="4">
                  <c:v>0.21456184266057463</c:v>
                </c:pt>
                <c:pt idx="5">
                  <c:v>0.10984453585563882</c:v>
                </c:pt>
              </c:numCache>
            </c:numRef>
          </c:val>
          <c:extLst>
            <c:ext xmlns:c16="http://schemas.microsoft.com/office/drawing/2014/chart" uri="{C3380CC4-5D6E-409C-BE32-E72D297353CC}">
              <c16:uniqueId val="{0000000D-3327-49C7-9128-F8465CCA3C4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System_Kel X.xlsm]Dapur!PivotTable4</c:name>
    <c:fmtId val="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D"/>
              <a:t>STATUS STOK PER KATEGORI</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Dapur!$AB$1:$AB$2</c:f>
              <c:strCache>
                <c:ptCount val="1"/>
                <c:pt idx="0">
                  <c:v>Aman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Dapur!$AA$3:$AA$9</c:f>
              <c:strCache>
                <c:ptCount val="6"/>
                <c:pt idx="0">
                  <c:v>Arsip</c:v>
                </c:pt>
                <c:pt idx="1">
                  <c:v>ATK</c:v>
                </c:pt>
                <c:pt idx="2">
                  <c:v>Elektronik</c:v>
                </c:pt>
                <c:pt idx="3">
                  <c:v>Kebersihan</c:v>
                </c:pt>
                <c:pt idx="4">
                  <c:v>Lainnya</c:v>
                </c:pt>
                <c:pt idx="5">
                  <c:v>Perabotan</c:v>
                </c:pt>
              </c:strCache>
            </c:strRef>
          </c:cat>
          <c:val>
            <c:numRef>
              <c:f>Dapur!$AB$3:$AB$9</c:f>
              <c:numCache>
                <c:formatCode>General</c:formatCode>
                <c:ptCount val="6"/>
                <c:pt idx="0">
                  <c:v>15</c:v>
                </c:pt>
                <c:pt idx="1">
                  <c:v>25</c:v>
                </c:pt>
                <c:pt idx="2">
                  <c:v>13</c:v>
                </c:pt>
                <c:pt idx="3">
                  <c:v>12</c:v>
                </c:pt>
                <c:pt idx="4">
                  <c:v>12</c:v>
                </c:pt>
                <c:pt idx="5">
                  <c:v>19</c:v>
                </c:pt>
              </c:numCache>
            </c:numRef>
          </c:val>
          <c:extLst>
            <c:ext xmlns:c16="http://schemas.microsoft.com/office/drawing/2014/chart" uri="{C3380CC4-5D6E-409C-BE32-E72D297353CC}">
              <c16:uniqueId val="{00000001-834A-42E4-B017-0A5EE99944D5}"/>
            </c:ext>
          </c:extLst>
        </c:ser>
        <c:ser>
          <c:idx val="1"/>
          <c:order val="1"/>
          <c:tx>
            <c:strRef>
              <c:f>Dapur!$AC$1:$AC$2</c:f>
              <c:strCache>
                <c:ptCount val="1"/>
                <c:pt idx="0">
                  <c:v>Habis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Dapur!$AA$3:$AA$9</c:f>
              <c:strCache>
                <c:ptCount val="6"/>
                <c:pt idx="0">
                  <c:v>Arsip</c:v>
                </c:pt>
                <c:pt idx="1">
                  <c:v>ATK</c:v>
                </c:pt>
                <c:pt idx="2">
                  <c:v>Elektronik</c:v>
                </c:pt>
                <c:pt idx="3">
                  <c:v>Kebersihan</c:v>
                </c:pt>
                <c:pt idx="4">
                  <c:v>Lainnya</c:v>
                </c:pt>
                <c:pt idx="5">
                  <c:v>Perabotan</c:v>
                </c:pt>
              </c:strCache>
            </c:strRef>
          </c:cat>
          <c:val>
            <c:numRef>
              <c:f>Dapur!$AC$3:$AC$9</c:f>
              <c:numCache>
                <c:formatCode>General</c:formatCode>
                <c:ptCount val="6"/>
                <c:pt idx="3">
                  <c:v>1</c:v>
                </c:pt>
                <c:pt idx="4">
                  <c:v>2</c:v>
                </c:pt>
                <c:pt idx="5">
                  <c:v>1</c:v>
                </c:pt>
              </c:numCache>
            </c:numRef>
          </c:val>
          <c:extLst>
            <c:ext xmlns:c16="http://schemas.microsoft.com/office/drawing/2014/chart" uri="{C3380CC4-5D6E-409C-BE32-E72D297353CC}">
              <c16:uniqueId val="{00000002-834A-42E4-B017-0A5EE99944D5}"/>
            </c:ext>
          </c:extLst>
        </c:ser>
        <c:ser>
          <c:idx val="2"/>
          <c:order val="2"/>
          <c:tx>
            <c:strRef>
              <c:f>Dapur!$AD$1:$AD$2</c:f>
              <c:strCache>
                <c:ptCount val="1"/>
                <c:pt idx="0">
                  <c:v>Menipis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Dapur!$AA$3:$AA$9</c:f>
              <c:strCache>
                <c:ptCount val="6"/>
                <c:pt idx="0">
                  <c:v>Arsip</c:v>
                </c:pt>
                <c:pt idx="1">
                  <c:v>ATK</c:v>
                </c:pt>
                <c:pt idx="2">
                  <c:v>Elektronik</c:v>
                </c:pt>
                <c:pt idx="3">
                  <c:v>Kebersihan</c:v>
                </c:pt>
                <c:pt idx="4">
                  <c:v>Lainnya</c:v>
                </c:pt>
                <c:pt idx="5">
                  <c:v>Perabotan</c:v>
                </c:pt>
              </c:strCache>
            </c:strRef>
          </c:cat>
          <c:val>
            <c:numRef>
              <c:f>Dapur!$AD$3:$AD$9</c:f>
              <c:numCache>
                <c:formatCode>General</c:formatCode>
                <c:ptCount val="6"/>
                <c:pt idx="0">
                  <c:v>2</c:v>
                </c:pt>
                <c:pt idx="1">
                  <c:v>1</c:v>
                </c:pt>
                <c:pt idx="2">
                  <c:v>1</c:v>
                </c:pt>
                <c:pt idx="5">
                  <c:v>1</c:v>
                </c:pt>
              </c:numCache>
            </c:numRef>
          </c:val>
          <c:extLst>
            <c:ext xmlns:c16="http://schemas.microsoft.com/office/drawing/2014/chart" uri="{C3380CC4-5D6E-409C-BE32-E72D297353CC}">
              <c16:uniqueId val="{00000003-834A-42E4-B017-0A5EE99944D5}"/>
            </c:ext>
          </c:extLst>
        </c:ser>
        <c:dLbls>
          <c:dLblPos val="ctr"/>
          <c:showLegendKey val="0"/>
          <c:showVal val="1"/>
          <c:showCatName val="0"/>
          <c:showSerName val="0"/>
          <c:showPercent val="0"/>
          <c:showBubbleSize val="0"/>
        </c:dLbls>
        <c:gapWidth val="150"/>
        <c:overlap val="100"/>
        <c:axId val="1256870303"/>
        <c:axId val="1256858239"/>
      </c:barChart>
      <c:catAx>
        <c:axId val="1256870303"/>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D"/>
                  <a:t>KATEGORI</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56858239"/>
        <c:crosses val="autoZero"/>
        <c:auto val="1"/>
        <c:lblAlgn val="ctr"/>
        <c:lblOffset val="100"/>
        <c:noMultiLvlLbl val="0"/>
      </c:catAx>
      <c:valAx>
        <c:axId val="1256858239"/>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D"/>
                  <a:t>JUMLAH ITEM</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56870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30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18" Type="http://schemas.openxmlformats.org/officeDocument/2006/relationships/chart" Target="../charts/chart1.xml"/><Relationship Id="rId3" Type="http://schemas.openxmlformats.org/officeDocument/2006/relationships/hyperlink" Target="#'Stok Akhir'!A1"/><Relationship Id="rId7" Type="http://schemas.openxmlformats.org/officeDocument/2006/relationships/image" Target="../media/image2.svg"/><Relationship Id="rId12" Type="http://schemas.openxmlformats.org/officeDocument/2006/relationships/image" Target="../media/image7.png"/><Relationship Id="rId17" Type="http://schemas.openxmlformats.org/officeDocument/2006/relationships/image" Target="../media/image12.svg"/><Relationship Id="rId2" Type="http://schemas.openxmlformats.org/officeDocument/2006/relationships/hyperlink" Target="#Transaksi!A1"/><Relationship Id="rId16" Type="http://schemas.openxmlformats.org/officeDocument/2006/relationships/image" Target="../media/image11.png"/><Relationship Id="rId20" Type="http://schemas.openxmlformats.org/officeDocument/2006/relationships/chart" Target="../charts/chart3.xml"/><Relationship Id="rId1" Type="http://schemas.openxmlformats.org/officeDocument/2006/relationships/hyperlink" Target="#Home!A1"/><Relationship Id="rId6" Type="http://schemas.openxmlformats.org/officeDocument/2006/relationships/image" Target="../media/image1.png"/><Relationship Id="rId11" Type="http://schemas.openxmlformats.org/officeDocument/2006/relationships/image" Target="../media/image6.svg"/><Relationship Id="rId5" Type="http://schemas.openxmlformats.org/officeDocument/2006/relationships/hyperlink" Target="#Search!A1"/><Relationship Id="rId15" Type="http://schemas.openxmlformats.org/officeDocument/2006/relationships/image" Target="../media/image10.svg"/><Relationship Id="rId10" Type="http://schemas.openxmlformats.org/officeDocument/2006/relationships/image" Target="../media/image5.png"/><Relationship Id="rId19" Type="http://schemas.openxmlformats.org/officeDocument/2006/relationships/chart" Target="../charts/chart2.xml"/><Relationship Id="rId4" Type="http://schemas.openxmlformats.org/officeDocument/2006/relationships/hyperlink" Target="#'Master Barang'!A1"/><Relationship Id="rId9" Type="http://schemas.openxmlformats.org/officeDocument/2006/relationships/image" Target="../media/image4.svg"/><Relationship Id="rId14"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hyperlink" Target="#'Stok Akhir'!A1"/><Relationship Id="rId7" Type="http://schemas.openxmlformats.org/officeDocument/2006/relationships/image" Target="../media/image14.svg"/><Relationship Id="rId2" Type="http://schemas.openxmlformats.org/officeDocument/2006/relationships/hyperlink" Target="#Transaksi!A1"/><Relationship Id="rId1" Type="http://schemas.openxmlformats.org/officeDocument/2006/relationships/hyperlink" Target="#Home!A1"/><Relationship Id="rId6" Type="http://schemas.openxmlformats.org/officeDocument/2006/relationships/image" Target="../media/image13.png"/><Relationship Id="rId5" Type="http://schemas.openxmlformats.org/officeDocument/2006/relationships/hyperlink" Target="#Search!A1"/><Relationship Id="rId4" Type="http://schemas.openxmlformats.org/officeDocument/2006/relationships/hyperlink" Target="#'Master Barang'!A1"/></Relationships>
</file>

<file path=xl/drawings/_rels/drawing3.xml.rels><?xml version="1.0" encoding="UTF-8" standalone="yes"?>
<Relationships xmlns="http://schemas.openxmlformats.org/package/2006/relationships"><Relationship Id="rId3" Type="http://schemas.openxmlformats.org/officeDocument/2006/relationships/hyperlink" Target="#'Stok Akhir'!A1"/><Relationship Id="rId7" Type="http://schemas.openxmlformats.org/officeDocument/2006/relationships/image" Target="../media/image16.svg"/><Relationship Id="rId2" Type="http://schemas.openxmlformats.org/officeDocument/2006/relationships/hyperlink" Target="#Transaksi!A1"/><Relationship Id="rId1" Type="http://schemas.openxmlformats.org/officeDocument/2006/relationships/hyperlink" Target="#Home!A1"/><Relationship Id="rId6" Type="http://schemas.openxmlformats.org/officeDocument/2006/relationships/image" Target="../media/image15.png"/><Relationship Id="rId5" Type="http://schemas.openxmlformats.org/officeDocument/2006/relationships/hyperlink" Target="#Search!A1"/><Relationship Id="rId4" Type="http://schemas.openxmlformats.org/officeDocument/2006/relationships/hyperlink" Target="#'Master Barang'!A1"/></Relationships>
</file>

<file path=xl/drawings/_rels/drawing4.xml.rels><?xml version="1.0" encoding="UTF-8" standalone="yes"?>
<Relationships xmlns="http://schemas.openxmlformats.org/package/2006/relationships"><Relationship Id="rId3" Type="http://schemas.openxmlformats.org/officeDocument/2006/relationships/hyperlink" Target="#'Stok Akhir'!A1"/><Relationship Id="rId7" Type="http://schemas.openxmlformats.org/officeDocument/2006/relationships/image" Target="../media/image18.svg"/><Relationship Id="rId2" Type="http://schemas.openxmlformats.org/officeDocument/2006/relationships/hyperlink" Target="#Transaksi!A1"/><Relationship Id="rId1" Type="http://schemas.openxmlformats.org/officeDocument/2006/relationships/hyperlink" Target="#Home!A1"/><Relationship Id="rId6" Type="http://schemas.openxmlformats.org/officeDocument/2006/relationships/image" Target="../media/image17.png"/><Relationship Id="rId5" Type="http://schemas.openxmlformats.org/officeDocument/2006/relationships/hyperlink" Target="#Search!A1"/><Relationship Id="rId4" Type="http://schemas.openxmlformats.org/officeDocument/2006/relationships/hyperlink" Target="#'Master Barang'!A1"/></Relationships>
</file>

<file path=xl/drawings/_rels/drawing5.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hyperlink" Target="#'Stok Akhir'!A1"/><Relationship Id="rId7" Type="http://schemas.openxmlformats.org/officeDocument/2006/relationships/image" Target="../media/image21.svg"/><Relationship Id="rId2" Type="http://schemas.openxmlformats.org/officeDocument/2006/relationships/hyperlink" Target="#Transaksi!A1"/><Relationship Id="rId1" Type="http://schemas.openxmlformats.org/officeDocument/2006/relationships/hyperlink" Target="#Home!A1"/><Relationship Id="rId6" Type="http://schemas.openxmlformats.org/officeDocument/2006/relationships/image" Target="../media/image20.png"/><Relationship Id="rId5" Type="http://schemas.openxmlformats.org/officeDocument/2006/relationships/hyperlink" Target="#Search!A1"/><Relationship Id="rId4" Type="http://schemas.openxmlformats.org/officeDocument/2006/relationships/hyperlink" Target="#'Master Barang'!A1"/><Relationship Id="rId9" Type="http://schemas.openxmlformats.org/officeDocument/2006/relationships/image" Target="../media/image23.sv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editAs="absolute">
    <xdr:from>
      <xdr:col>0</xdr:col>
      <xdr:colOff>259080</xdr:colOff>
      <xdr:row>1</xdr:row>
      <xdr:rowOff>4953</xdr:rowOff>
    </xdr:from>
    <xdr:to>
      <xdr:col>2</xdr:col>
      <xdr:colOff>343972</xdr:colOff>
      <xdr:row>49</xdr:row>
      <xdr:rowOff>179757</xdr:rowOff>
    </xdr:to>
    <xdr:sp macro="" textlink="">
      <xdr:nvSpPr>
        <xdr:cNvPr id="41" name="Rectangle: Rounded Corners 40">
          <a:extLst>
            <a:ext uri="{FF2B5EF4-FFF2-40B4-BE49-F238E27FC236}">
              <a16:creationId xmlns:a16="http://schemas.microsoft.com/office/drawing/2014/main" id="{00000000-0008-0000-0000-000029000000}"/>
            </a:ext>
          </a:extLst>
        </xdr:cNvPr>
        <xdr:cNvSpPr/>
      </xdr:nvSpPr>
      <xdr:spPr>
        <a:xfrm>
          <a:off x="259080" y="189561"/>
          <a:ext cx="2335541" cy="9036000"/>
        </a:xfrm>
        <a:prstGeom prst="roundRect">
          <a:avLst>
            <a:gd name="adj" fmla="val 5593"/>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editAs="absolute">
    <xdr:from>
      <xdr:col>13</xdr:col>
      <xdr:colOff>9797</xdr:colOff>
      <xdr:row>5</xdr:row>
      <xdr:rowOff>34835</xdr:rowOff>
    </xdr:from>
    <xdr:to>
      <xdr:col>14</xdr:col>
      <xdr:colOff>944880</xdr:colOff>
      <xdr:row>10</xdr:row>
      <xdr:rowOff>154577</xdr:rowOff>
    </xdr:to>
    <xdr:grpSp>
      <xdr:nvGrpSpPr>
        <xdr:cNvPr id="73" name="Group 72">
          <a:extLst>
            <a:ext uri="{FF2B5EF4-FFF2-40B4-BE49-F238E27FC236}">
              <a16:creationId xmlns:a16="http://schemas.microsoft.com/office/drawing/2014/main" id="{00000000-0008-0000-0000-000049000000}"/>
            </a:ext>
          </a:extLst>
        </xdr:cNvPr>
        <xdr:cNvGrpSpPr/>
      </xdr:nvGrpSpPr>
      <xdr:grpSpPr>
        <a:xfrm>
          <a:off x="11371217" y="949235"/>
          <a:ext cx="2116183" cy="1034142"/>
          <a:chOff x="12270377" y="1033055"/>
          <a:chExt cx="1965960" cy="1034142"/>
        </a:xfrm>
      </xdr:grpSpPr>
      <xdr:sp macro="" textlink="">
        <xdr:nvSpPr>
          <xdr:cNvPr id="39" name="Rectangle: Rounded Corners 38">
            <a:extLst>
              <a:ext uri="{FF2B5EF4-FFF2-40B4-BE49-F238E27FC236}">
                <a16:creationId xmlns:a16="http://schemas.microsoft.com/office/drawing/2014/main" id="{00000000-0008-0000-0000-000027000000}"/>
              </a:ext>
            </a:extLst>
          </xdr:cNvPr>
          <xdr:cNvSpPr/>
        </xdr:nvSpPr>
        <xdr:spPr>
          <a:xfrm>
            <a:off x="12270377" y="1040675"/>
            <a:ext cx="1965960" cy="1026522"/>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12328632" y="1033055"/>
            <a:ext cx="1065295" cy="4474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000" baseline="0">
                <a:latin typeface="Arial Rounded MT Bold" panose="020F0704030504030204" pitchFamily="34" charset="0"/>
                <a:ea typeface="Arial Unicode MS" panose="020B0604020202020204" pitchFamily="34" charset="-128"/>
                <a:cs typeface="Arial Unicode MS" panose="020B0604020202020204" pitchFamily="34" charset="-128"/>
              </a:rPr>
              <a:t>NILAI KELUAR</a:t>
            </a:r>
            <a:endParaRPr lang="en-ID" sz="1000">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grpSp>
    <xdr:clientData/>
  </xdr:twoCellAnchor>
  <xdr:twoCellAnchor editAs="absolute">
    <xdr:from>
      <xdr:col>3</xdr:col>
      <xdr:colOff>137331</xdr:colOff>
      <xdr:row>5</xdr:row>
      <xdr:rowOff>42455</xdr:rowOff>
    </xdr:from>
    <xdr:to>
      <xdr:col>5</xdr:col>
      <xdr:colOff>602649</xdr:colOff>
      <xdr:row>10</xdr:row>
      <xdr:rowOff>154577</xdr:rowOff>
    </xdr:to>
    <xdr:grpSp>
      <xdr:nvGrpSpPr>
        <xdr:cNvPr id="106" name="Group 105">
          <a:extLst>
            <a:ext uri="{FF2B5EF4-FFF2-40B4-BE49-F238E27FC236}">
              <a16:creationId xmlns:a16="http://schemas.microsoft.com/office/drawing/2014/main" id="{00000000-0008-0000-0000-00006A000000}"/>
            </a:ext>
          </a:extLst>
        </xdr:cNvPr>
        <xdr:cNvGrpSpPr/>
      </xdr:nvGrpSpPr>
      <xdr:grpSpPr>
        <a:xfrm>
          <a:off x="2933871" y="956855"/>
          <a:ext cx="1814058" cy="1026522"/>
          <a:chOff x="2959037" y="987335"/>
          <a:chExt cx="2004765" cy="1026522"/>
        </a:xfrm>
      </xdr:grpSpPr>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2959037" y="987335"/>
            <a:ext cx="2004765" cy="1026522"/>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a:t>a</a:t>
            </a:r>
          </a:p>
        </xdr:txBody>
      </xdr:sp>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960051" y="987335"/>
            <a:ext cx="1509444"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000" b="0">
                <a:latin typeface="Arial Rounded MT Bold" panose="020F0704030504030204" pitchFamily="34" charset="0"/>
                <a:ea typeface="Arial Unicode MS" panose="020B0604020202020204" pitchFamily="34" charset="-128"/>
                <a:cs typeface="Arial Unicode MS" panose="020B0604020202020204" pitchFamily="34" charset="-128"/>
              </a:rPr>
              <a:t>TOTAL</a:t>
            </a:r>
            <a:r>
              <a:rPr lang="en-ID" sz="1000" b="0" baseline="0">
                <a:latin typeface="Arial Rounded MT Bold" panose="020F0704030504030204" pitchFamily="34" charset="0"/>
                <a:ea typeface="Arial Unicode MS" panose="020B0604020202020204" pitchFamily="34" charset="-128"/>
                <a:cs typeface="Arial Unicode MS" panose="020B0604020202020204" pitchFamily="34" charset="-128"/>
              </a:rPr>
              <a:t> BARANG</a:t>
            </a:r>
            <a:endParaRPr lang="en-ID" sz="1000" b="0">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sp macro="" textlink="Dapur!$A$2">
        <xdr:nvSpPr>
          <xdr:cNvPr id="93" name="TextBox 92">
            <a:extLst>
              <a:ext uri="{FF2B5EF4-FFF2-40B4-BE49-F238E27FC236}">
                <a16:creationId xmlns:a16="http://schemas.microsoft.com/office/drawing/2014/main" id="{00000000-0008-0000-0000-00005D000000}"/>
              </a:ext>
            </a:extLst>
          </xdr:cNvPr>
          <xdr:cNvSpPr txBox="1"/>
        </xdr:nvSpPr>
        <xdr:spPr>
          <a:xfrm>
            <a:off x="3017520" y="1280160"/>
            <a:ext cx="1180595"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EAC7210-DB99-4E69-A80B-89D4AEAB40D9}" type="TxLink">
              <a:rPr lang="en-US" sz="3200" b="0" i="0" u="none" strike="noStrike">
                <a:solidFill>
                  <a:srgbClr val="000000"/>
                </a:solidFill>
                <a:latin typeface="Arial Rounded MT Bold" panose="020F0704030504030204" pitchFamily="34" charset="0"/>
                <a:ea typeface="Calibri"/>
                <a:cs typeface="Calibri"/>
              </a:rPr>
              <a:pPr/>
              <a:t>105</a:t>
            </a:fld>
            <a:endParaRPr lang="en-ID" sz="3200" b="1">
              <a:latin typeface="Arial Rounded MT Bold" panose="020F0704030504030204" pitchFamily="34" charset="0"/>
            </a:endParaRPr>
          </a:p>
        </xdr:txBody>
      </xdr:sp>
    </xdr:grpSp>
    <xdr:clientData/>
  </xdr:twoCellAnchor>
  <xdr:twoCellAnchor editAs="absolute">
    <xdr:from>
      <xdr:col>13</xdr:col>
      <xdr:colOff>205740</xdr:colOff>
      <xdr:row>5</xdr:row>
      <xdr:rowOff>76200</xdr:rowOff>
    </xdr:from>
    <xdr:to>
      <xdr:col>14</xdr:col>
      <xdr:colOff>906780</xdr:colOff>
      <xdr:row>7</xdr:row>
      <xdr:rowOff>60960</xdr:rowOff>
    </xdr:to>
    <xdr:sp macro="" textlink="Dapur!$E$2">
      <xdr:nvSpPr>
        <xdr:cNvPr id="101" name="TextBox 100">
          <a:extLst>
            <a:ext uri="{FF2B5EF4-FFF2-40B4-BE49-F238E27FC236}">
              <a16:creationId xmlns:a16="http://schemas.microsoft.com/office/drawing/2014/main" id="{00000000-0008-0000-0000-000065000000}"/>
            </a:ext>
          </a:extLst>
        </xdr:cNvPr>
        <xdr:cNvSpPr txBox="1"/>
      </xdr:nvSpPr>
      <xdr:spPr>
        <a:xfrm>
          <a:off x="11567160" y="990600"/>
          <a:ext cx="18821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AA4954-D184-4BE0-8730-38938E297DE8}" type="TxLink">
            <a:rPr lang="en-US" sz="1800" b="0" i="0" u="none" strike="noStrike">
              <a:solidFill>
                <a:srgbClr val="FF0000"/>
              </a:solidFill>
              <a:latin typeface="Arial Rounded MT Bold" panose="020F0704030504030204" pitchFamily="34" charset="0"/>
              <a:ea typeface="Calibri"/>
              <a:cs typeface="Calibri"/>
            </a:rPr>
            <a:pPr/>
            <a:t> Rp160.845.200 </a:t>
          </a:fld>
          <a:endParaRPr lang="en-ID" sz="4800">
            <a:solidFill>
              <a:srgbClr val="FF0000"/>
            </a:solidFill>
            <a:latin typeface="Arial Rounded MT Bold" panose="020F0704030504030204" pitchFamily="34" charset="0"/>
          </a:endParaRPr>
        </a:p>
      </xdr:txBody>
    </xdr:sp>
    <xdr:clientData/>
  </xdr:twoCellAnchor>
  <xdr:twoCellAnchor editAs="absolute">
    <xdr:from>
      <xdr:col>3</xdr:col>
      <xdr:colOff>133350</xdr:colOff>
      <xdr:row>1</xdr:row>
      <xdr:rowOff>1905</xdr:rowOff>
    </xdr:from>
    <xdr:to>
      <xdr:col>14</xdr:col>
      <xdr:colOff>935370</xdr:colOff>
      <xdr:row>3</xdr:row>
      <xdr:rowOff>161924</xdr:rowOff>
    </xdr:to>
    <xdr:grpSp>
      <xdr:nvGrpSpPr>
        <xdr:cNvPr id="13" name="Grup 12">
          <a:extLst>
            <a:ext uri="{FF2B5EF4-FFF2-40B4-BE49-F238E27FC236}">
              <a16:creationId xmlns:a16="http://schemas.microsoft.com/office/drawing/2014/main" id="{00000000-0008-0000-0000-00000D000000}"/>
            </a:ext>
          </a:extLst>
        </xdr:cNvPr>
        <xdr:cNvGrpSpPr/>
      </xdr:nvGrpSpPr>
      <xdr:grpSpPr>
        <a:xfrm>
          <a:off x="2929890" y="184785"/>
          <a:ext cx="10548000" cy="525779"/>
          <a:chOff x="2900680" y="182675"/>
          <a:chExt cx="10589542" cy="524827"/>
        </a:xfrm>
      </xdr:grpSpPr>
      <xdr:sp macro="" textlink="">
        <xdr:nvSpPr>
          <xdr:cNvPr id="108" name="Rectangle: Rounded Corners 107">
            <a:extLst>
              <a:ext uri="{FF2B5EF4-FFF2-40B4-BE49-F238E27FC236}">
                <a16:creationId xmlns:a16="http://schemas.microsoft.com/office/drawing/2014/main" id="{00000000-0008-0000-0000-00006C000000}"/>
              </a:ext>
            </a:extLst>
          </xdr:cNvPr>
          <xdr:cNvSpPr/>
        </xdr:nvSpPr>
        <xdr:spPr>
          <a:xfrm>
            <a:off x="2900680" y="182675"/>
            <a:ext cx="10589542" cy="524827"/>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ID" sz="1100">
              <a:solidFill>
                <a:schemeClr val="tx1"/>
              </a:solidFill>
              <a:latin typeface="Arial Rounded MT Bold" panose="020F0704030504030204" pitchFamily="34" charset="0"/>
            </a:endParaRPr>
          </a:p>
        </xdr:txBody>
      </xdr:sp>
      <xdr:sp macro="" textlink="">
        <xdr:nvSpPr>
          <xdr:cNvPr id="5" name="Rectangle: Rounded Corners 4">
            <a:extLst>
              <a:ext uri="{FF2B5EF4-FFF2-40B4-BE49-F238E27FC236}">
                <a16:creationId xmlns:a16="http://schemas.microsoft.com/office/drawing/2014/main" id="{00000000-0008-0000-0000-000005000000}"/>
              </a:ext>
            </a:extLst>
          </xdr:cNvPr>
          <xdr:cNvSpPr/>
        </xdr:nvSpPr>
        <xdr:spPr>
          <a:xfrm>
            <a:off x="7866855" y="246075"/>
            <a:ext cx="758145" cy="395605"/>
          </a:xfrm>
          <a:prstGeom prst="roundRect">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109" name="TextBox 108">
            <a:hlinkClick xmlns:r="http://schemas.openxmlformats.org/officeDocument/2006/relationships" r:id="rId1"/>
            <a:extLst>
              <a:ext uri="{FF2B5EF4-FFF2-40B4-BE49-F238E27FC236}">
                <a16:creationId xmlns:a16="http://schemas.microsoft.com/office/drawing/2014/main" id="{00000000-0008-0000-0000-00006D000000}"/>
              </a:ext>
            </a:extLst>
          </xdr:cNvPr>
          <xdr:cNvSpPr txBox="1"/>
        </xdr:nvSpPr>
        <xdr:spPr>
          <a:xfrm>
            <a:off x="7866885" y="273857"/>
            <a:ext cx="763589" cy="334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solidFill>
                  <a:schemeClr val="bg1"/>
                </a:solidFill>
                <a:latin typeface="Arial Rounded MT Bold" panose="020F0704030504030204" pitchFamily="34" charset="0"/>
              </a:rPr>
              <a:t>HOME</a:t>
            </a:r>
            <a:endParaRPr lang="en-ID" sz="1050">
              <a:solidFill>
                <a:schemeClr val="bg1"/>
              </a:solidFill>
              <a:latin typeface="Arial Rounded MT Bold" panose="020F0704030504030204" pitchFamily="34" charset="0"/>
            </a:endParaRPr>
          </a:p>
        </xdr:txBody>
      </xdr:sp>
      <xdr:sp macro="" textlink="">
        <xdr:nvSpPr>
          <xdr:cNvPr id="110" name="TextBox 109">
            <a:hlinkClick xmlns:r="http://schemas.openxmlformats.org/officeDocument/2006/relationships" r:id="rId2"/>
            <a:extLst>
              <a:ext uri="{FF2B5EF4-FFF2-40B4-BE49-F238E27FC236}">
                <a16:creationId xmlns:a16="http://schemas.microsoft.com/office/drawing/2014/main" id="{00000000-0008-0000-0000-00006E000000}"/>
              </a:ext>
            </a:extLst>
          </xdr:cNvPr>
          <xdr:cNvSpPr txBox="1"/>
        </xdr:nvSpPr>
        <xdr:spPr>
          <a:xfrm>
            <a:off x="8732345" y="274684"/>
            <a:ext cx="1291711" cy="334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solidFill>
                  <a:schemeClr val="tx1"/>
                </a:solidFill>
                <a:latin typeface="Arial Rounded MT Bold" panose="020F0704030504030204" pitchFamily="34" charset="0"/>
              </a:rPr>
              <a:t>TRANSAKSI</a:t>
            </a:r>
            <a:endParaRPr lang="en-ID" sz="1600">
              <a:solidFill>
                <a:schemeClr val="tx1"/>
              </a:solidFill>
              <a:latin typeface="Arial Rounded MT Bold" panose="020F0704030504030204" pitchFamily="34" charset="0"/>
            </a:endParaRPr>
          </a:p>
        </xdr:txBody>
      </xdr:sp>
      <xdr:sp macro="" textlink="">
        <xdr:nvSpPr>
          <xdr:cNvPr id="111" name="TextBox 110">
            <a:hlinkClick xmlns:r="http://schemas.openxmlformats.org/officeDocument/2006/relationships" r:id="rId3"/>
            <a:extLst>
              <a:ext uri="{FF2B5EF4-FFF2-40B4-BE49-F238E27FC236}">
                <a16:creationId xmlns:a16="http://schemas.microsoft.com/office/drawing/2014/main" id="{00000000-0008-0000-0000-00006F000000}"/>
              </a:ext>
            </a:extLst>
          </xdr:cNvPr>
          <xdr:cNvSpPr txBox="1"/>
        </xdr:nvSpPr>
        <xdr:spPr>
          <a:xfrm>
            <a:off x="10125430" y="274099"/>
            <a:ext cx="1362393" cy="334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STOK</a:t>
            </a:r>
            <a:r>
              <a:rPr lang="en-ID" sz="1400" baseline="0">
                <a:latin typeface="Arial Rounded MT Bold" panose="020F0704030504030204" pitchFamily="34" charset="0"/>
              </a:rPr>
              <a:t> AKHIR</a:t>
            </a:r>
            <a:endParaRPr lang="en-ID" sz="1400">
              <a:latin typeface="Arial Rounded MT Bold" panose="020F0704030504030204" pitchFamily="34" charset="0"/>
            </a:endParaRPr>
          </a:p>
        </xdr:txBody>
      </xdr:sp>
      <xdr:sp macro="" textlink="">
        <xdr:nvSpPr>
          <xdr:cNvPr id="112" name="TextBox 111">
            <a:hlinkClick xmlns:r="http://schemas.openxmlformats.org/officeDocument/2006/relationships" r:id="rId4"/>
            <a:extLst>
              <a:ext uri="{FF2B5EF4-FFF2-40B4-BE49-F238E27FC236}">
                <a16:creationId xmlns:a16="http://schemas.microsoft.com/office/drawing/2014/main" id="{00000000-0008-0000-0000-000070000000}"/>
              </a:ext>
            </a:extLst>
          </xdr:cNvPr>
          <xdr:cNvSpPr txBox="1"/>
        </xdr:nvSpPr>
        <xdr:spPr>
          <a:xfrm>
            <a:off x="11594743" y="274099"/>
            <a:ext cx="717867" cy="334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DATA</a:t>
            </a:r>
            <a:endParaRPr lang="en-ID" sz="1600">
              <a:latin typeface="Arial Rounded MT Bold" panose="020F0704030504030204" pitchFamily="34" charset="0"/>
            </a:endParaRPr>
          </a:p>
        </xdr:txBody>
      </xdr:sp>
      <xdr:sp macro="" textlink="">
        <xdr:nvSpPr>
          <xdr:cNvPr id="113" name="TextBox 112">
            <a:hlinkClick xmlns:r="http://schemas.openxmlformats.org/officeDocument/2006/relationships" r:id="rId5"/>
            <a:extLst>
              <a:ext uri="{FF2B5EF4-FFF2-40B4-BE49-F238E27FC236}">
                <a16:creationId xmlns:a16="http://schemas.microsoft.com/office/drawing/2014/main" id="{00000000-0008-0000-0000-000071000000}"/>
              </a:ext>
            </a:extLst>
          </xdr:cNvPr>
          <xdr:cNvSpPr txBox="1"/>
        </xdr:nvSpPr>
        <xdr:spPr>
          <a:xfrm>
            <a:off x="12411821" y="274099"/>
            <a:ext cx="1022668" cy="334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SEARCH</a:t>
            </a:r>
          </a:p>
        </xdr:txBody>
      </xdr:sp>
      <xdr:grpSp>
        <xdr:nvGrpSpPr>
          <xdr:cNvPr id="6" name="Group 5">
            <a:extLst>
              <a:ext uri="{FF2B5EF4-FFF2-40B4-BE49-F238E27FC236}">
                <a16:creationId xmlns:a16="http://schemas.microsoft.com/office/drawing/2014/main" id="{00000000-0008-0000-0000-000006000000}"/>
              </a:ext>
            </a:extLst>
          </xdr:cNvPr>
          <xdr:cNvGrpSpPr/>
        </xdr:nvGrpSpPr>
        <xdr:grpSpPr>
          <a:xfrm>
            <a:off x="3007145" y="266467"/>
            <a:ext cx="2074957" cy="357548"/>
            <a:chOff x="3009777" y="266707"/>
            <a:chExt cx="2072676" cy="358142"/>
          </a:xfrm>
        </xdr:grpSpPr>
        <xdr:sp macro="" textlink="">
          <xdr:nvSpPr>
            <xdr:cNvPr id="114" name="TextBox 113">
              <a:extLst>
                <a:ext uri="{FF2B5EF4-FFF2-40B4-BE49-F238E27FC236}">
                  <a16:creationId xmlns:a16="http://schemas.microsoft.com/office/drawing/2014/main" id="{00000000-0008-0000-0000-000072000000}"/>
                </a:ext>
              </a:extLst>
            </xdr:cNvPr>
            <xdr:cNvSpPr txBox="1"/>
          </xdr:nvSpPr>
          <xdr:spPr>
            <a:xfrm>
              <a:off x="3375573" y="274329"/>
              <a:ext cx="170688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D" sz="1600">
                  <a:latin typeface="Arial Rounded MT Bold" panose="020F0704030504030204" pitchFamily="34" charset="0"/>
                </a:rPr>
                <a:t>DASHBOARD</a:t>
              </a:r>
            </a:p>
          </xdr:txBody>
        </xdr:sp>
        <xdr:pic>
          <xdr:nvPicPr>
            <xdr:cNvPr id="4" name="Graphic 3" descr="Home with solid fill">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009777" y="266707"/>
              <a:ext cx="358140" cy="358140"/>
            </a:xfrm>
            <a:prstGeom prst="rect">
              <a:avLst/>
            </a:prstGeom>
          </xdr:spPr>
        </xdr:pic>
      </xdr:grpSp>
    </xdr:grpSp>
    <xdr:clientData/>
  </xdr:twoCellAnchor>
  <xdr:twoCellAnchor editAs="absolute">
    <xdr:from>
      <xdr:col>14</xdr:col>
      <xdr:colOff>472355</xdr:colOff>
      <xdr:row>8</xdr:row>
      <xdr:rowOff>91527</xdr:rowOff>
    </xdr:from>
    <xdr:to>
      <xdr:col>14</xdr:col>
      <xdr:colOff>876215</xdr:colOff>
      <xdr:row>10</xdr:row>
      <xdr:rowOff>130825</xdr:rowOff>
    </xdr:to>
    <xdr:pic>
      <xdr:nvPicPr>
        <xdr:cNvPr id="8" name="Graphic 7" descr="Coins with solid fill">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011108" y="1564156"/>
          <a:ext cx="403860" cy="407456"/>
        </a:xfrm>
        <a:prstGeom prst="rect">
          <a:avLst/>
        </a:prstGeom>
      </xdr:spPr>
    </xdr:pic>
    <xdr:clientData/>
  </xdr:twoCellAnchor>
  <xdr:twoCellAnchor editAs="absolute">
    <xdr:from>
      <xdr:col>6</xdr:col>
      <xdr:colOff>154339</xdr:colOff>
      <xdr:row>5</xdr:row>
      <xdr:rowOff>34835</xdr:rowOff>
    </xdr:from>
    <xdr:to>
      <xdr:col>8</xdr:col>
      <xdr:colOff>205738</xdr:colOff>
      <xdr:row>10</xdr:row>
      <xdr:rowOff>154577</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4909219" y="949235"/>
          <a:ext cx="1971639" cy="1034142"/>
          <a:chOff x="4916839" y="933995"/>
          <a:chExt cx="1971639" cy="1034142"/>
        </a:xfrm>
      </xdr:grpSpPr>
      <xdr:grpSp>
        <xdr:nvGrpSpPr>
          <xdr:cNvPr id="105" name="Group 104">
            <a:extLst>
              <a:ext uri="{FF2B5EF4-FFF2-40B4-BE49-F238E27FC236}">
                <a16:creationId xmlns:a16="http://schemas.microsoft.com/office/drawing/2014/main" id="{00000000-0008-0000-0000-000069000000}"/>
              </a:ext>
            </a:extLst>
          </xdr:cNvPr>
          <xdr:cNvGrpSpPr/>
        </xdr:nvGrpSpPr>
        <xdr:grpSpPr>
          <a:xfrm>
            <a:off x="4916839" y="933995"/>
            <a:ext cx="1971639" cy="1034142"/>
            <a:chOff x="5069233" y="979715"/>
            <a:chExt cx="2034784" cy="1034142"/>
          </a:xfrm>
        </xdr:grpSpPr>
        <xdr:sp macro="" textlink="">
          <xdr:nvSpPr>
            <xdr:cNvPr id="38" name="Rectangle: Rounded Corners 37">
              <a:extLst>
                <a:ext uri="{FF2B5EF4-FFF2-40B4-BE49-F238E27FC236}">
                  <a16:creationId xmlns:a16="http://schemas.microsoft.com/office/drawing/2014/main" id="{00000000-0008-0000-0000-000026000000}"/>
                </a:ext>
              </a:extLst>
            </xdr:cNvPr>
            <xdr:cNvSpPr/>
          </xdr:nvSpPr>
          <xdr:spPr>
            <a:xfrm>
              <a:off x="5069477" y="987335"/>
              <a:ext cx="2034540" cy="1026522"/>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a:t>a</a:t>
              </a:r>
            </a:p>
          </xdr:txBody>
        </xdr:sp>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5069233" y="979715"/>
              <a:ext cx="683623"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050" baseline="0">
                  <a:latin typeface="Arial Rounded MT Bold" panose="020F0704030504030204" pitchFamily="34" charset="0"/>
                  <a:ea typeface="Arial Unicode MS" panose="020B0604020202020204" pitchFamily="34" charset="-128"/>
                  <a:cs typeface="Arial Unicode MS" panose="020B0604020202020204" pitchFamily="34" charset="-128"/>
                </a:rPr>
                <a:t> </a:t>
              </a:r>
              <a:r>
                <a:rPr lang="en-ID" sz="1000" baseline="0">
                  <a:latin typeface="Arial Rounded MT Bold" panose="020F0704030504030204" pitchFamily="34" charset="0"/>
                  <a:ea typeface="Arial Unicode MS" panose="020B0604020202020204" pitchFamily="34" charset="-128"/>
                  <a:cs typeface="Arial Unicode MS" panose="020B0604020202020204" pitchFamily="34" charset="-128"/>
                </a:rPr>
                <a:t>AMAN</a:t>
              </a:r>
              <a:endParaRPr lang="en-ID" sz="1050">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sp macro="" textlink="Dapur!$B$2">
          <xdr:nvSpPr>
            <xdr:cNvPr id="94" name="TextBox 93">
              <a:extLst>
                <a:ext uri="{FF2B5EF4-FFF2-40B4-BE49-F238E27FC236}">
                  <a16:creationId xmlns:a16="http://schemas.microsoft.com/office/drawing/2014/main" id="{00000000-0008-0000-0000-00005E000000}"/>
                </a:ext>
              </a:extLst>
            </xdr:cNvPr>
            <xdr:cNvSpPr txBox="1"/>
          </xdr:nvSpPr>
          <xdr:spPr>
            <a:xfrm>
              <a:off x="5143500" y="1303020"/>
              <a:ext cx="100584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913B2D4-6DF8-4803-8F3A-ABB2F5B847AD}" type="TxLink">
                <a:rPr lang="en-US" sz="3200" b="0" i="0" u="none" strike="noStrike">
                  <a:solidFill>
                    <a:srgbClr val="000000"/>
                  </a:solidFill>
                  <a:latin typeface="Arial Rounded MT Bold" panose="020F0704030504030204" pitchFamily="34" charset="0"/>
                  <a:ea typeface="Calibri"/>
                  <a:cs typeface="Calibri"/>
                </a:rPr>
                <a:pPr/>
                <a:t>96</a:t>
              </a:fld>
              <a:endParaRPr lang="en-ID" sz="3200">
                <a:latin typeface="Arial Rounded MT Bold" panose="020F0704030504030204" pitchFamily="34" charset="0"/>
              </a:endParaRPr>
            </a:p>
          </xdr:txBody>
        </xdr:sp>
      </xdr:grpSp>
      <xdr:pic>
        <xdr:nvPicPr>
          <xdr:cNvPr id="10" name="Graphic 9" descr="Checkmark with solid fill">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256020" y="1333500"/>
            <a:ext cx="540000" cy="540000"/>
          </a:xfrm>
          <a:prstGeom prst="rect">
            <a:avLst/>
          </a:prstGeom>
        </xdr:spPr>
      </xdr:pic>
    </xdr:grpSp>
    <xdr:clientData/>
  </xdr:twoCellAnchor>
  <xdr:twoCellAnchor editAs="absolute">
    <xdr:from>
      <xdr:col>11</xdr:col>
      <xdr:colOff>375518</xdr:colOff>
      <xdr:row>5</xdr:row>
      <xdr:rowOff>42455</xdr:rowOff>
    </xdr:from>
    <xdr:to>
      <xdr:col>12</xdr:col>
      <xdr:colOff>1036321</xdr:colOff>
      <xdr:row>10</xdr:row>
      <xdr:rowOff>154577</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9260438" y="956855"/>
          <a:ext cx="1956203" cy="1026522"/>
          <a:chOff x="9268058" y="956855"/>
          <a:chExt cx="1956203" cy="1026522"/>
        </a:xfrm>
      </xdr:grpSpPr>
      <xdr:grpSp>
        <xdr:nvGrpSpPr>
          <xdr:cNvPr id="102" name="Group 101">
            <a:extLst>
              <a:ext uri="{FF2B5EF4-FFF2-40B4-BE49-F238E27FC236}">
                <a16:creationId xmlns:a16="http://schemas.microsoft.com/office/drawing/2014/main" id="{00000000-0008-0000-0000-000066000000}"/>
              </a:ext>
            </a:extLst>
          </xdr:cNvPr>
          <xdr:cNvGrpSpPr/>
        </xdr:nvGrpSpPr>
        <xdr:grpSpPr>
          <a:xfrm>
            <a:off x="9268058" y="956855"/>
            <a:ext cx="1956203" cy="1026522"/>
            <a:chOff x="9497080" y="964475"/>
            <a:chExt cx="2064639" cy="1026522"/>
          </a:xfrm>
        </xdr:grpSpPr>
        <xdr:grpSp>
          <xdr:nvGrpSpPr>
            <xdr:cNvPr id="44" name="Group 43">
              <a:extLst>
                <a:ext uri="{FF2B5EF4-FFF2-40B4-BE49-F238E27FC236}">
                  <a16:creationId xmlns:a16="http://schemas.microsoft.com/office/drawing/2014/main" id="{00000000-0008-0000-0000-00002C000000}"/>
                </a:ext>
              </a:extLst>
            </xdr:cNvPr>
            <xdr:cNvGrpSpPr/>
          </xdr:nvGrpSpPr>
          <xdr:grpSpPr>
            <a:xfrm>
              <a:off x="9497080" y="964475"/>
              <a:ext cx="2064639" cy="1026522"/>
              <a:chOff x="10098675" y="1033055"/>
              <a:chExt cx="1965961" cy="1026522"/>
            </a:xfrm>
          </xdr:grpSpPr>
          <xdr:sp macro="" textlink="">
            <xdr:nvSpPr>
              <xdr:cNvPr id="36" name="Rectangle: Rounded Corners 35">
                <a:extLst>
                  <a:ext uri="{FF2B5EF4-FFF2-40B4-BE49-F238E27FC236}">
                    <a16:creationId xmlns:a16="http://schemas.microsoft.com/office/drawing/2014/main" id="{00000000-0008-0000-0000-000024000000}"/>
                  </a:ext>
                </a:extLst>
              </xdr:cNvPr>
              <xdr:cNvSpPr/>
            </xdr:nvSpPr>
            <xdr:spPr>
              <a:xfrm>
                <a:off x="10098675" y="1033055"/>
                <a:ext cx="1965961" cy="1026522"/>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182953" y="1033055"/>
                <a:ext cx="594360" cy="4474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000" baseline="0">
                    <a:latin typeface="Arial Rounded MT Bold" panose="020F0704030504030204" pitchFamily="34" charset="0"/>
                    <a:ea typeface="Arial Unicode MS" panose="020B0604020202020204" pitchFamily="34" charset="-128"/>
                    <a:cs typeface="Arial Unicode MS" panose="020B0604020202020204" pitchFamily="34" charset="-128"/>
                  </a:rPr>
                  <a:t>HABIS</a:t>
                </a:r>
                <a:endParaRPr lang="en-ID" sz="1000">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grpSp>
        <xdr:sp macro="" textlink="Dapur!$D$2">
          <xdr:nvSpPr>
            <xdr:cNvPr id="98" name="TextBox 97">
              <a:extLst>
                <a:ext uri="{FF2B5EF4-FFF2-40B4-BE49-F238E27FC236}">
                  <a16:creationId xmlns:a16="http://schemas.microsoft.com/office/drawing/2014/main" id="{00000000-0008-0000-0000-000062000000}"/>
                </a:ext>
              </a:extLst>
            </xdr:cNvPr>
            <xdr:cNvSpPr txBox="1"/>
          </xdr:nvSpPr>
          <xdr:spPr>
            <a:xfrm>
              <a:off x="9601200" y="1287780"/>
              <a:ext cx="100584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3C7E793-BB42-4E75-A645-1948EEFC24A5}" type="TxLink">
                <a:rPr lang="en-US" sz="3200" b="0" i="0" u="none" strike="noStrike">
                  <a:solidFill>
                    <a:srgbClr val="000000"/>
                  </a:solidFill>
                  <a:latin typeface="Arial Rounded MT Bold" panose="020F0704030504030204" pitchFamily="34" charset="0"/>
                  <a:ea typeface="Calibri"/>
                  <a:cs typeface="Calibri"/>
                </a:rPr>
                <a:pPr/>
                <a:t>4</a:t>
              </a:fld>
              <a:endParaRPr lang="en-ID" sz="3200">
                <a:latin typeface="Arial Rounded MT Bold" panose="020F0704030504030204" pitchFamily="34" charset="0"/>
              </a:endParaRPr>
            </a:p>
          </xdr:txBody>
        </xdr:sp>
      </xdr:grpSp>
      <xdr:pic>
        <xdr:nvPicPr>
          <xdr:cNvPr id="12" name="Graphic 11" descr="Close with solid fill">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604640" y="1338720"/>
            <a:ext cx="540000" cy="540000"/>
          </a:xfrm>
          <a:prstGeom prst="rect">
            <a:avLst/>
          </a:prstGeom>
        </xdr:spPr>
      </xdr:pic>
    </xdr:grpSp>
    <xdr:clientData/>
  </xdr:twoCellAnchor>
  <xdr:twoCellAnchor editAs="absolute">
    <xdr:from>
      <xdr:col>8</xdr:col>
      <xdr:colOff>383176</xdr:colOff>
      <xdr:row>5</xdr:row>
      <xdr:rowOff>42455</xdr:rowOff>
    </xdr:from>
    <xdr:to>
      <xdr:col>11</xdr:col>
      <xdr:colOff>205740</xdr:colOff>
      <xdr:row>10</xdr:row>
      <xdr:rowOff>154577</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7058296" y="956855"/>
          <a:ext cx="2032364" cy="1026522"/>
          <a:chOff x="7073536" y="956855"/>
          <a:chExt cx="2032364" cy="1026522"/>
        </a:xfrm>
      </xdr:grpSpPr>
      <xdr:grpSp>
        <xdr:nvGrpSpPr>
          <xdr:cNvPr id="104" name="Group 103">
            <a:extLst>
              <a:ext uri="{FF2B5EF4-FFF2-40B4-BE49-F238E27FC236}">
                <a16:creationId xmlns:a16="http://schemas.microsoft.com/office/drawing/2014/main" id="{00000000-0008-0000-0000-000068000000}"/>
              </a:ext>
            </a:extLst>
          </xdr:cNvPr>
          <xdr:cNvGrpSpPr/>
        </xdr:nvGrpSpPr>
        <xdr:grpSpPr>
          <a:xfrm>
            <a:off x="7073536" y="956855"/>
            <a:ext cx="2032364" cy="1026522"/>
            <a:chOff x="7187836" y="987335"/>
            <a:chExt cx="2026920" cy="1026522"/>
          </a:xfrm>
        </xdr:grpSpPr>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7187836" y="987335"/>
              <a:ext cx="2026920" cy="1026522"/>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a:t>a</a:t>
              </a:r>
            </a:p>
          </xdr:txBody>
        </xdr:sp>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7218235" y="987335"/>
              <a:ext cx="750188" cy="4474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000" baseline="0">
                  <a:latin typeface="Arial Rounded MT Bold" panose="020F0704030504030204" pitchFamily="34" charset="0"/>
                  <a:ea typeface="Arial Unicode MS" panose="020B0604020202020204" pitchFamily="34" charset="-128"/>
                  <a:cs typeface="Arial Unicode MS" panose="020B0604020202020204" pitchFamily="34" charset="-128"/>
                </a:rPr>
                <a:t> MENIPIS</a:t>
              </a:r>
              <a:endParaRPr lang="en-ID" sz="1000">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sp macro="" textlink="Dapur!$C$2">
          <xdr:nvSpPr>
            <xdr:cNvPr id="95" name="TextBox 94">
              <a:extLst>
                <a:ext uri="{FF2B5EF4-FFF2-40B4-BE49-F238E27FC236}">
                  <a16:creationId xmlns:a16="http://schemas.microsoft.com/office/drawing/2014/main" id="{00000000-0008-0000-0000-00005F000000}"/>
                </a:ext>
              </a:extLst>
            </xdr:cNvPr>
            <xdr:cNvSpPr txBox="1"/>
          </xdr:nvSpPr>
          <xdr:spPr>
            <a:xfrm>
              <a:off x="7307580" y="1287780"/>
              <a:ext cx="100584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488B2E-17B3-44C8-8712-C1AC54E0A3AF}" type="TxLink">
                <a:rPr lang="en-US" sz="3200" b="0" i="0" u="none" strike="noStrike">
                  <a:solidFill>
                    <a:srgbClr val="000000"/>
                  </a:solidFill>
                  <a:latin typeface="Arial Rounded MT Bold" panose="020F0704030504030204" pitchFamily="34" charset="0"/>
                  <a:ea typeface="Calibri"/>
                  <a:cs typeface="Calibri"/>
                </a:rPr>
                <a:pPr/>
                <a:t>5</a:t>
              </a:fld>
              <a:endParaRPr lang="en-ID" sz="3200">
                <a:latin typeface="Arial Rounded MT Bold" panose="020F0704030504030204" pitchFamily="34" charset="0"/>
              </a:endParaRPr>
            </a:p>
          </xdr:txBody>
        </xdr:sp>
      </xdr:grpSp>
      <xdr:pic>
        <xdr:nvPicPr>
          <xdr:cNvPr id="14" name="Graphic 13" descr="Warning with solid fill">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8473440" y="1348740"/>
            <a:ext cx="540000" cy="540000"/>
          </a:xfrm>
          <a:prstGeom prst="rect">
            <a:avLst/>
          </a:prstGeom>
        </xdr:spPr>
      </xdr:pic>
    </xdr:grpSp>
    <xdr:clientData/>
  </xdr:twoCellAnchor>
  <xdr:twoCellAnchor editAs="absolute">
    <xdr:from>
      <xdr:col>4</xdr:col>
      <xdr:colOff>594360</xdr:colOff>
      <xdr:row>7</xdr:row>
      <xdr:rowOff>68580</xdr:rowOff>
    </xdr:from>
    <xdr:to>
      <xdr:col>5</xdr:col>
      <xdr:colOff>524760</xdr:colOff>
      <xdr:row>10</xdr:row>
      <xdr:rowOff>59940</xdr:rowOff>
    </xdr:to>
    <xdr:pic>
      <xdr:nvPicPr>
        <xdr:cNvPr id="27" name="Graphic 26" descr="List with solid fill">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130040" y="1348740"/>
          <a:ext cx="540000" cy="540000"/>
        </a:xfrm>
        <a:prstGeom prst="rect">
          <a:avLst/>
        </a:prstGeom>
      </xdr:spPr>
    </xdr:pic>
    <xdr:clientData/>
  </xdr:twoCellAnchor>
  <xdr:twoCellAnchor editAs="absolute">
    <xdr:from>
      <xdr:col>13</xdr:col>
      <xdr:colOff>12842</xdr:colOff>
      <xdr:row>6</xdr:row>
      <xdr:rowOff>132011</xdr:rowOff>
    </xdr:from>
    <xdr:to>
      <xdr:col>14</xdr:col>
      <xdr:colOff>783404</xdr:colOff>
      <xdr:row>9</xdr:row>
      <xdr:rowOff>81936</xdr:rowOff>
    </xdr:to>
    <xdr:sp macro="" textlink="Dapur!$E$2">
      <xdr:nvSpPr>
        <xdr:cNvPr id="49" name="TextBox 48">
          <a:extLst>
            <a:ext uri="{FF2B5EF4-FFF2-40B4-BE49-F238E27FC236}">
              <a16:creationId xmlns:a16="http://schemas.microsoft.com/office/drawing/2014/main" id="{00000000-0008-0000-0000-000031000000}"/>
            </a:ext>
          </a:extLst>
        </xdr:cNvPr>
        <xdr:cNvSpPr txBox="1"/>
      </xdr:nvSpPr>
      <xdr:spPr>
        <a:xfrm>
          <a:off x="11370067" y="1236483"/>
          <a:ext cx="1952090" cy="502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80FA55-00B4-485E-91C6-937775477DAF}" type="TxLink">
            <a:rPr lang="en-US" sz="1800" b="0" i="0" u="none" strike="noStrike">
              <a:solidFill>
                <a:sysClr val="windowText" lastClr="000000"/>
              </a:solidFill>
              <a:latin typeface="Arial Rounded MT Bold" panose="020F0704030504030204" pitchFamily="34" charset="0"/>
              <a:ea typeface="Calibri"/>
              <a:cs typeface="Calibri"/>
            </a:rPr>
            <a:pPr algn="ctr"/>
            <a:t> Rp160.845.200 </a:t>
          </a:fld>
          <a:endParaRPr lang="en-US" sz="1800" b="0" i="0" u="none" strike="noStrike">
            <a:solidFill>
              <a:sysClr val="windowText" lastClr="000000"/>
            </a:solidFill>
            <a:latin typeface="Arial Rounded MT Bold" panose="020F0704030504030204" pitchFamily="34" charset="0"/>
            <a:ea typeface="Calibri"/>
            <a:cs typeface="Calibri"/>
          </a:endParaRPr>
        </a:p>
      </xdr:txBody>
    </xdr:sp>
    <xdr:clientData/>
  </xdr:twoCellAnchor>
  <xdr:twoCellAnchor editAs="absolute">
    <xdr:from>
      <xdr:col>3</xdr:col>
      <xdr:colOff>131716</xdr:colOff>
      <xdr:row>29</xdr:row>
      <xdr:rowOff>320</xdr:rowOff>
    </xdr:from>
    <xdr:to>
      <xdr:col>14</xdr:col>
      <xdr:colOff>1012292</xdr:colOff>
      <xdr:row>50</xdr:row>
      <xdr:rowOff>7620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2928256" y="5303840"/>
          <a:ext cx="10626556" cy="3847780"/>
          <a:chOff x="2943496" y="2122714"/>
          <a:chExt cx="5080364" cy="2787612"/>
        </a:xfrm>
      </xdr:grpSpPr>
      <xdr:sp macro="" textlink="">
        <xdr:nvSpPr>
          <xdr:cNvPr id="74" name="Rectangle: Rounded Corners 73">
            <a:extLst>
              <a:ext uri="{FF2B5EF4-FFF2-40B4-BE49-F238E27FC236}">
                <a16:creationId xmlns:a16="http://schemas.microsoft.com/office/drawing/2014/main" id="{00000000-0008-0000-0000-00004A000000}"/>
              </a:ext>
            </a:extLst>
          </xdr:cNvPr>
          <xdr:cNvSpPr/>
        </xdr:nvSpPr>
        <xdr:spPr>
          <a:xfrm>
            <a:off x="2943496" y="2122714"/>
            <a:ext cx="5080364" cy="2777203"/>
          </a:xfrm>
          <a:prstGeom prst="roundRect">
            <a:avLst>
              <a:gd name="adj" fmla="val 1070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a:t>a</a:t>
            </a:r>
          </a:p>
        </xdr:txBody>
      </xdr:sp>
      <xdr:graphicFrame macro="">
        <xdr:nvGraphicFramePr>
          <xdr:cNvPr id="50" name="Chart 49">
            <a:extLst>
              <a:ext uri="{FF2B5EF4-FFF2-40B4-BE49-F238E27FC236}">
                <a16:creationId xmlns:a16="http://schemas.microsoft.com/office/drawing/2014/main" id="{00000000-0008-0000-0000-000032000000}"/>
              </a:ext>
            </a:extLst>
          </xdr:cNvPr>
          <xdr:cNvGraphicFramePr>
            <a:graphicFrameLocks/>
          </xdr:cNvGraphicFramePr>
        </xdr:nvGraphicFramePr>
        <xdr:xfrm>
          <a:off x="3192503" y="2125099"/>
          <a:ext cx="4572000" cy="2785227"/>
        </xdr:xfrm>
        <a:graphic>
          <a:graphicData uri="http://schemas.openxmlformats.org/drawingml/2006/chart">
            <c:chart xmlns:c="http://schemas.openxmlformats.org/drawingml/2006/chart" xmlns:r="http://schemas.openxmlformats.org/officeDocument/2006/relationships" r:id="rId18"/>
          </a:graphicData>
        </a:graphic>
      </xdr:graphicFrame>
    </xdr:grpSp>
    <xdr:clientData/>
  </xdr:twoCellAnchor>
  <xdr:twoCellAnchor editAs="absolute">
    <xdr:from>
      <xdr:col>10</xdr:col>
      <xdr:colOff>466996</xdr:colOff>
      <xdr:row>12</xdr:row>
      <xdr:rowOff>42454</xdr:rowOff>
    </xdr:from>
    <xdr:to>
      <xdr:col>14</xdr:col>
      <xdr:colOff>966796</xdr:colOff>
      <xdr:row>27</xdr:row>
      <xdr:rowOff>137338</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8361316" y="2237014"/>
          <a:ext cx="5148000" cy="2838084"/>
          <a:chOff x="8367581" y="2082301"/>
          <a:chExt cx="5129496" cy="2808146"/>
        </a:xfrm>
      </xdr:grpSpPr>
      <xdr:sp macro="" textlink="">
        <xdr:nvSpPr>
          <xdr:cNvPr id="116" name="Rectangle: Rounded Corners 115">
            <a:extLst>
              <a:ext uri="{FF2B5EF4-FFF2-40B4-BE49-F238E27FC236}">
                <a16:creationId xmlns:a16="http://schemas.microsoft.com/office/drawing/2014/main" id="{00000000-0008-0000-0000-000074000000}"/>
              </a:ext>
            </a:extLst>
          </xdr:cNvPr>
          <xdr:cNvSpPr/>
        </xdr:nvSpPr>
        <xdr:spPr>
          <a:xfrm>
            <a:off x="8367581" y="2082301"/>
            <a:ext cx="5129496" cy="2778538"/>
          </a:xfrm>
          <a:prstGeom prst="roundRect">
            <a:avLst>
              <a:gd name="adj" fmla="val 1070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a:t>a</a:t>
            </a:r>
          </a:p>
        </xdr:txBody>
      </xdr:sp>
      <xdr:graphicFrame macro="">
        <xdr:nvGraphicFramePr>
          <xdr:cNvPr id="52" name="Chart 51">
            <a:extLst>
              <a:ext uri="{FF2B5EF4-FFF2-40B4-BE49-F238E27FC236}">
                <a16:creationId xmlns:a16="http://schemas.microsoft.com/office/drawing/2014/main" id="{00000000-0008-0000-0000-000034000000}"/>
              </a:ext>
            </a:extLst>
          </xdr:cNvPr>
          <xdr:cNvGraphicFramePr>
            <a:graphicFrameLocks/>
          </xdr:cNvGraphicFramePr>
        </xdr:nvGraphicFramePr>
        <xdr:xfrm>
          <a:off x="8646424" y="2117336"/>
          <a:ext cx="4586217" cy="2773111"/>
        </xdr:xfrm>
        <a:graphic>
          <a:graphicData uri="http://schemas.openxmlformats.org/drawingml/2006/chart">
            <c:chart xmlns:c="http://schemas.openxmlformats.org/drawingml/2006/chart" xmlns:r="http://schemas.openxmlformats.org/officeDocument/2006/relationships" r:id="rId19"/>
          </a:graphicData>
        </a:graphic>
      </xdr:graphicFrame>
    </xdr:grpSp>
    <xdr:clientData/>
  </xdr:twoCellAnchor>
  <xdr:twoCellAnchor editAs="absolute">
    <xdr:from>
      <xdr:col>3</xdr:col>
      <xdr:colOff>146956</xdr:colOff>
      <xdr:row>12</xdr:row>
      <xdr:rowOff>42454</xdr:rowOff>
    </xdr:from>
    <xdr:to>
      <xdr:col>10</xdr:col>
      <xdr:colOff>175576</xdr:colOff>
      <xdr:row>27</xdr:row>
      <xdr:rowOff>100054</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2943496" y="2237014"/>
          <a:ext cx="5126400" cy="2800800"/>
          <a:chOff x="2950906" y="5116535"/>
          <a:chExt cx="5056036" cy="3033370"/>
        </a:xfrm>
      </xdr:grpSpPr>
      <xdr:sp macro="" textlink="">
        <xdr:nvSpPr>
          <xdr:cNvPr id="79" name="Rectangle: Rounded Corners 78">
            <a:extLst>
              <a:ext uri="{FF2B5EF4-FFF2-40B4-BE49-F238E27FC236}">
                <a16:creationId xmlns:a16="http://schemas.microsoft.com/office/drawing/2014/main" id="{00000000-0008-0000-0000-00004F000000}"/>
              </a:ext>
            </a:extLst>
          </xdr:cNvPr>
          <xdr:cNvSpPr/>
        </xdr:nvSpPr>
        <xdr:spPr>
          <a:xfrm>
            <a:off x="2950906" y="5116535"/>
            <a:ext cx="5056036" cy="3033370"/>
          </a:xfrm>
          <a:prstGeom prst="roundRect">
            <a:avLst>
              <a:gd name="adj" fmla="val 1070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a:t>a</a:t>
            </a:r>
          </a:p>
        </xdr:txBody>
      </xdr:sp>
      <xdr:graphicFrame macro="">
        <xdr:nvGraphicFramePr>
          <xdr:cNvPr id="55" name="Chart 54">
            <a:extLst>
              <a:ext uri="{FF2B5EF4-FFF2-40B4-BE49-F238E27FC236}">
                <a16:creationId xmlns:a16="http://schemas.microsoft.com/office/drawing/2014/main" id="{00000000-0008-0000-0000-000037000000}"/>
              </a:ext>
            </a:extLst>
          </xdr:cNvPr>
          <xdr:cNvGraphicFramePr>
            <a:graphicFrameLocks/>
          </xdr:cNvGraphicFramePr>
        </xdr:nvGraphicFramePr>
        <xdr:xfrm>
          <a:off x="3108964" y="5209002"/>
          <a:ext cx="4729658" cy="2815146"/>
        </xdr:xfrm>
        <a:graphic>
          <a:graphicData uri="http://schemas.openxmlformats.org/drawingml/2006/chart">
            <c:chart xmlns:c="http://schemas.openxmlformats.org/drawingml/2006/chart" xmlns:r="http://schemas.openxmlformats.org/officeDocument/2006/relationships" r:id="rId20"/>
          </a:graphicData>
        </a:graphic>
      </xdr:graphicFrame>
    </xdr:grpSp>
    <xdr:clientData/>
  </xdr:twoCellAnchor>
  <xdr:twoCellAnchor editAs="oneCell">
    <xdr:from>
      <xdr:col>0</xdr:col>
      <xdr:colOff>519888</xdr:colOff>
      <xdr:row>2</xdr:row>
      <xdr:rowOff>41839</xdr:rowOff>
    </xdr:from>
    <xdr:to>
      <xdr:col>2</xdr:col>
      <xdr:colOff>98547</xdr:colOff>
      <xdr:row>12</xdr:row>
      <xdr:rowOff>165399</xdr:rowOff>
    </xdr:to>
    <mc:AlternateContent xmlns:mc="http://schemas.openxmlformats.org/markup-compatibility/2006" xmlns:a14="http://schemas.microsoft.com/office/drawing/2010/main">
      <mc:Choice Requires="a14">
        <xdr:graphicFrame macro="">
          <xdr:nvGraphicFramePr>
            <xdr:cNvPr id="57" name="Kategori 1">
              <a:extLst>
                <a:ext uri="{FF2B5EF4-FFF2-40B4-BE49-F238E27FC236}">
                  <a16:creationId xmlns:a16="http://schemas.microsoft.com/office/drawing/2014/main" id="{00000000-0008-0000-0000-000039000000}"/>
                </a:ext>
              </a:extLst>
            </xdr:cNvPr>
            <xdr:cNvGraphicFramePr/>
          </xdr:nvGraphicFramePr>
          <xdr:xfrm>
            <a:off x="0" y="0"/>
            <a:ext cx="0" cy="0"/>
          </xdr:xfrm>
          <a:graphic>
            <a:graphicData uri="http://schemas.microsoft.com/office/drawing/2010/slicer">
              <sle:slicer xmlns:sle="http://schemas.microsoft.com/office/drawing/2010/slicer" name="Kategori 1"/>
            </a:graphicData>
          </a:graphic>
        </xdr:graphicFrame>
      </mc:Choice>
      <mc:Fallback xmlns="">
        <xdr:sp macro="" textlink="">
          <xdr:nvSpPr>
            <xdr:cNvPr id="0" name=""/>
            <xdr:cNvSpPr>
              <a:spLocks noTextEdit="1"/>
            </xdr:cNvSpPr>
          </xdr:nvSpPr>
          <xdr:spPr>
            <a:xfrm>
              <a:off x="519888" y="407599"/>
              <a:ext cx="1826559" cy="1952360"/>
            </a:xfrm>
            <a:prstGeom prst="rect">
              <a:avLst/>
            </a:prstGeom>
            <a:solidFill>
              <a:prstClr val="white"/>
            </a:solidFill>
            <a:ln w="1">
              <a:solidFill>
                <a:prstClr val="green"/>
              </a:solidFill>
            </a:ln>
          </xdr:spPr>
          <xdr:txBody>
            <a:bodyPr vertOverflow="clip" horzOverflow="clip"/>
            <a:lstStyle/>
            <a:p>
              <a:r>
                <a:rPr lang="id-ID" sz="1100"/>
                <a:t>Bentuk ini mewakili sebuah pemotong. Pemotong didukung dalam Excel 2010 atau versi yang lebih baru.
Jika bentuk dimodifikasi dalam versi Excel yang lebih awal, atau jika buku kerja disimpan dalam Excel 2003 atau yang lebih awal, pemotong tidak dapat digunakan.</a:t>
              </a:r>
            </a:p>
          </xdr:txBody>
        </xdr:sp>
      </mc:Fallback>
    </mc:AlternateContent>
    <xdr:clientData/>
  </xdr:twoCellAnchor>
  <xdr:twoCellAnchor editAs="oneCell">
    <xdr:from>
      <xdr:col>0</xdr:col>
      <xdr:colOff>515555</xdr:colOff>
      <xdr:row>13</xdr:row>
      <xdr:rowOff>4803</xdr:rowOff>
    </xdr:from>
    <xdr:to>
      <xdr:col>2</xdr:col>
      <xdr:colOff>94214</xdr:colOff>
      <xdr:row>19</xdr:row>
      <xdr:rowOff>90993</xdr:rowOff>
    </xdr:to>
    <mc:AlternateContent xmlns:mc="http://schemas.openxmlformats.org/markup-compatibility/2006" xmlns:a14="http://schemas.microsoft.com/office/drawing/2010/main">
      <mc:Choice Requires="a14">
        <xdr:graphicFrame macro="">
          <xdr:nvGraphicFramePr>
            <xdr:cNvPr id="58" name="Status">
              <a:extLst>
                <a:ext uri="{FF2B5EF4-FFF2-40B4-BE49-F238E27FC236}">
                  <a16:creationId xmlns:a16="http://schemas.microsoft.com/office/drawing/2014/main" id="{00000000-0008-0000-0000-00003A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515555" y="2382243"/>
              <a:ext cx="1826559" cy="1183470"/>
            </a:xfrm>
            <a:prstGeom prst="rect">
              <a:avLst/>
            </a:prstGeom>
            <a:solidFill>
              <a:prstClr val="white"/>
            </a:solidFill>
            <a:ln w="1">
              <a:solidFill>
                <a:prstClr val="green"/>
              </a:solidFill>
            </a:ln>
          </xdr:spPr>
          <xdr:txBody>
            <a:bodyPr vertOverflow="clip" horzOverflow="clip"/>
            <a:lstStyle/>
            <a:p>
              <a:r>
                <a:rPr lang="id-ID" sz="1100"/>
                <a:t>Bentuk ini mewakili sebuah pemotong. Pemotong didukung dalam Excel 2010 atau versi yang lebih baru.
Jika bentuk dimodifikasi dalam versi Excel yang lebih awal, atau jika buku kerja disimpan dalam Excel 2003 atau yang lebih awal, pemotong tidak dapat digunakan.</a:t>
              </a:r>
            </a:p>
          </xdr:txBody>
        </xdr:sp>
      </mc:Fallback>
    </mc:AlternateContent>
    <xdr:clientData/>
  </xdr:twoCellAnchor>
  <xdr:twoCellAnchor editAs="oneCell">
    <xdr:from>
      <xdr:col>0</xdr:col>
      <xdr:colOff>522184</xdr:colOff>
      <xdr:row>19</xdr:row>
      <xdr:rowOff>83038</xdr:rowOff>
    </xdr:from>
    <xdr:to>
      <xdr:col>2</xdr:col>
      <xdr:colOff>100843</xdr:colOff>
      <xdr:row>24</xdr:row>
      <xdr:rowOff>99956</xdr:rowOff>
    </xdr:to>
    <mc:AlternateContent xmlns:mc="http://schemas.openxmlformats.org/markup-compatibility/2006" xmlns:a14="http://schemas.microsoft.com/office/drawing/2010/main">
      <mc:Choice Requires="a14">
        <xdr:graphicFrame macro="">
          <xdr:nvGraphicFramePr>
            <xdr:cNvPr id="59" name="Jenis Transaksi 1">
              <a:extLst>
                <a:ext uri="{FF2B5EF4-FFF2-40B4-BE49-F238E27FC236}">
                  <a16:creationId xmlns:a16="http://schemas.microsoft.com/office/drawing/2014/main" id="{00000000-0008-0000-0000-00003B000000}"/>
                </a:ext>
              </a:extLst>
            </xdr:cNvPr>
            <xdr:cNvGraphicFramePr/>
          </xdr:nvGraphicFramePr>
          <xdr:xfrm>
            <a:off x="0" y="0"/>
            <a:ext cx="0" cy="0"/>
          </xdr:xfrm>
          <a:graphic>
            <a:graphicData uri="http://schemas.microsoft.com/office/drawing/2010/slicer">
              <sle:slicer xmlns:sle="http://schemas.microsoft.com/office/drawing/2010/slicer" name="Jenis Transaksi 1"/>
            </a:graphicData>
          </a:graphic>
        </xdr:graphicFrame>
      </mc:Choice>
      <mc:Fallback xmlns="">
        <xdr:sp macro="" textlink="">
          <xdr:nvSpPr>
            <xdr:cNvPr id="0" name=""/>
            <xdr:cNvSpPr>
              <a:spLocks noTextEdit="1"/>
            </xdr:cNvSpPr>
          </xdr:nvSpPr>
          <xdr:spPr>
            <a:xfrm>
              <a:off x="522184" y="3557758"/>
              <a:ext cx="1826559" cy="931318"/>
            </a:xfrm>
            <a:prstGeom prst="rect">
              <a:avLst/>
            </a:prstGeom>
            <a:solidFill>
              <a:prstClr val="white"/>
            </a:solidFill>
            <a:ln w="1">
              <a:solidFill>
                <a:prstClr val="green"/>
              </a:solidFill>
            </a:ln>
          </xdr:spPr>
          <xdr:txBody>
            <a:bodyPr vertOverflow="clip" horzOverflow="clip"/>
            <a:lstStyle/>
            <a:p>
              <a:r>
                <a:rPr lang="id-ID" sz="1100"/>
                <a:t>Bentuk ini mewakili sebuah pemotong. Pemotong didukung dalam Excel 2010 atau versi yang lebih baru.
Jika bentuk dimodifikasi dalam versi Excel yang lebih awal, atau jika buku kerja disimpan dalam Excel 2003 atau yang lebih awal, pemotong tidak dapat digunakan.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259080</xdr:colOff>
      <xdr:row>1</xdr:row>
      <xdr:rowOff>0</xdr:rowOff>
    </xdr:from>
    <xdr:to>
      <xdr:col>4</xdr:col>
      <xdr:colOff>160680</xdr:colOff>
      <xdr:row>47</xdr:row>
      <xdr:rowOff>44400</xdr:rowOff>
    </xdr:to>
    <xdr:sp macro="" textlink="">
      <xdr:nvSpPr>
        <xdr:cNvPr id="37" name="Rectangle: Rounded Corners 36">
          <a:extLst>
            <a:ext uri="{FF2B5EF4-FFF2-40B4-BE49-F238E27FC236}">
              <a16:creationId xmlns:a16="http://schemas.microsoft.com/office/drawing/2014/main" id="{00000000-0008-0000-0100-000025000000}"/>
            </a:ext>
          </a:extLst>
        </xdr:cNvPr>
        <xdr:cNvSpPr/>
      </xdr:nvSpPr>
      <xdr:spPr>
        <a:xfrm>
          <a:off x="259080" y="182880"/>
          <a:ext cx="2340000" cy="9036000"/>
        </a:xfrm>
        <a:prstGeom prst="roundRect">
          <a:avLst>
            <a:gd name="adj" fmla="val 5593"/>
          </a:avLst>
        </a:prstGeom>
        <a:solidFill>
          <a:srgbClr val="7C7C7C"/>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solidFill>
              <a:schemeClr val="accent3">
                <a:lumMod val="75000"/>
              </a:schemeClr>
            </a:solidFill>
          </a:endParaRPr>
        </a:p>
      </xdr:txBody>
    </xdr:sp>
    <xdr:clientData/>
  </xdr:twoCellAnchor>
  <xdr:twoCellAnchor editAs="absolute">
    <xdr:from>
      <xdr:col>0</xdr:col>
      <xdr:colOff>518160</xdr:colOff>
      <xdr:row>8</xdr:row>
      <xdr:rowOff>69047</xdr:rowOff>
    </xdr:from>
    <xdr:to>
      <xdr:col>3</xdr:col>
      <xdr:colOff>518160</xdr:colOff>
      <xdr:row>20</xdr:row>
      <xdr:rowOff>162625</xdr:rowOff>
    </xdr:to>
    <mc:AlternateContent xmlns:mc="http://schemas.openxmlformats.org/markup-compatibility/2006" xmlns:sle15="http://schemas.microsoft.com/office/drawing/2012/slicer">
      <mc:Choice Requires="sle15">
        <xdr:graphicFrame macro="">
          <xdr:nvGraphicFramePr>
            <xdr:cNvPr id="12" name="Nama Barang">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microsoft.com/office/drawing/2010/slicer">
              <sle:slicer xmlns:sle="http://schemas.microsoft.com/office/drawing/2010/slicer" name="Nama Barang"/>
            </a:graphicData>
          </a:graphic>
        </xdr:graphicFrame>
      </mc:Choice>
      <mc:Fallback xmlns="">
        <xdr:sp macro="" textlink="">
          <xdr:nvSpPr>
            <xdr:cNvPr id="0" name=""/>
            <xdr:cNvSpPr>
              <a:spLocks noTextEdit="1"/>
            </xdr:cNvSpPr>
          </xdr:nvSpPr>
          <xdr:spPr>
            <a:xfrm>
              <a:off x="518160" y="1532087"/>
              <a:ext cx="1828800" cy="2455778"/>
            </a:xfrm>
            <a:prstGeom prst="rect">
              <a:avLst/>
            </a:prstGeom>
            <a:solidFill>
              <a:prstClr val="white"/>
            </a:solidFill>
            <a:ln w="1">
              <a:solidFill>
                <a:prstClr val="green"/>
              </a:solidFill>
            </a:ln>
          </xdr:spPr>
          <xdr:txBody>
            <a:bodyPr vertOverflow="clip" horzOverflow="clip"/>
            <a:lstStyle/>
            <a:p>
              <a:r>
                <a:rPr lang="id-ID" sz="1100"/>
                <a:t>Bentuk ini mewakili pemotong tabel. Pemotong tabel tidak didukung di versi Excel ini.
Jika bentuk ini diubah di Excel versi sebelumnya, atau jika buku kerja disimpan di Excel 2007 atau yang lebih lama, pemotong tidak dapat digunakan.</a:t>
              </a:r>
            </a:p>
          </xdr:txBody>
        </xdr:sp>
      </mc:Fallback>
    </mc:AlternateContent>
    <xdr:clientData/>
  </xdr:twoCellAnchor>
  <xdr:twoCellAnchor editAs="absolute">
    <xdr:from>
      <xdr:col>0</xdr:col>
      <xdr:colOff>518160</xdr:colOff>
      <xdr:row>2</xdr:row>
      <xdr:rowOff>38101</xdr:rowOff>
    </xdr:from>
    <xdr:to>
      <xdr:col>3</xdr:col>
      <xdr:colOff>518160</xdr:colOff>
      <xdr:row>8</xdr:row>
      <xdr:rowOff>61272</xdr:rowOff>
    </xdr:to>
    <mc:AlternateContent xmlns:mc="http://schemas.openxmlformats.org/markup-compatibility/2006" xmlns:sle15="http://schemas.microsoft.com/office/drawing/2012/slicer">
      <mc:Choice Requires="sle15">
        <xdr:graphicFrame macro="">
          <xdr:nvGraphicFramePr>
            <xdr:cNvPr id="13" name="Jenis Transaksi">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Jenis Transaksi"/>
            </a:graphicData>
          </a:graphic>
        </xdr:graphicFrame>
      </mc:Choice>
      <mc:Fallback xmlns="">
        <xdr:sp macro="" textlink="">
          <xdr:nvSpPr>
            <xdr:cNvPr id="0" name=""/>
            <xdr:cNvSpPr>
              <a:spLocks noTextEdit="1"/>
            </xdr:cNvSpPr>
          </xdr:nvSpPr>
          <xdr:spPr>
            <a:xfrm>
              <a:off x="518160" y="403861"/>
              <a:ext cx="1828800" cy="1120451"/>
            </a:xfrm>
            <a:prstGeom prst="rect">
              <a:avLst/>
            </a:prstGeom>
            <a:solidFill>
              <a:prstClr val="white"/>
            </a:solidFill>
            <a:ln w="1">
              <a:solidFill>
                <a:prstClr val="green"/>
              </a:solidFill>
            </a:ln>
          </xdr:spPr>
          <xdr:txBody>
            <a:bodyPr vertOverflow="clip" horzOverflow="clip"/>
            <a:lstStyle/>
            <a:p>
              <a:r>
                <a:rPr lang="id-ID" sz="1100"/>
                <a:t>Bentuk ini mewakili pemotong tabel. Pemotong tabel tidak didukung di versi Excel ini.
Jika bentuk ini diubah di Excel versi sebelumnya, atau jika buku kerja disimpan di Excel 2007 atau yang lebih lama, pemotong tidak dapat digunakan.</a:t>
              </a:r>
            </a:p>
          </xdr:txBody>
        </xdr:sp>
      </mc:Fallback>
    </mc:AlternateContent>
    <xdr:clientData/>
  </xdr:twoCellAnchor>
  <xdr:twoCellAnchor editAs="absolute">
    <xdr:from>
      <xdr:col>4</xdr:col>
      <xdr:colOff>495300</xdr:colOff>
      <xdr:row>1</xdr:row>
      <xdr:rowOff>0</xdr:rowOff>
    </xdr:from>
    <xdr:to>
      <xdr:col>15</xdr:col>
      <xdr:colOff>520080</xdr:colOff>
      <xdr:row>3</xdr:row>
      <xdr:rowOff>159840</xdr:rowOff>
    </xdr:to>
    <xdr:sp macro="" textlink="">
      <xdr:nvSpPr>
        <xdr:cNvPr id="28" name="Rectangle: Rounded Corners 27">
          <a:extLst>
            <a:ext uri="{FF2B5EF4-FFF2-40B4-BE49-F238E27FC236}">
              <a16:creationId xmlns:a16="http://schemas.microsoft.com/office/drawing/2014/main" id="{00000000-0008-0000-0100-00001C000000}"/>
            </a:ext>
          </a:extLst>
        </xdr:cNvPr>
        <xdr:cNvSpPr/>
      </xdr:nvSpPr>
      <xdr:spPr>
        <a:xfrm>
          <a:off x="2933700" y="182880"/>
          <a:ext cx="10548000" cy="52560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ID" sz="1100">
            <a:solidFill>
              <a:schemeClr val="tx1"/>
            </a:solidFill>
            <a:latin typeface="Arial Rounded MT Bold" panose="020F0704030504030204" pitchFamily="34" charset="0"/>
          </a:endParaRPr>
        </a:p>
      </xdr:txBody>
    </xdr:sp>
    <xdr:clientData/>
  </xdr:twoCellAnchor>
  <xdr:twoCellAnchor editAs="absolute">
    <xdr:from>
      <xdr:col>10</xdr:col>
      <xdr:colOff>128488</xdr:colOff>
      <xdr:row>1</xdr:row>
      <xdr:rowOff>56957</xdr:rowOff>
    </xdr:from>
    <xdr:to>
      <xdr:col>11</xdr:col>
      <xdr:colOff>132473</xdr:colOff>
      <xdr:row>3</xdr:row>
      <xdr:rowOff>87437</xdr:rowOff>
    </xdr:to>
    <xdr:sp macro="" textlink="">
      <xdr:nvSpPr>
        <xdr:cNvPr id="29" name="Rectangle: Rounded Corners 28">
          <a:extLst>
            <a:ext uri="{FF2B5EF4-FFF2-40B4-BE49-F238E27FC236}">
              <a16:creationId xmlns:a16="http://schemas.microsoft.com/office/drawing/2014/main" id="{00000000-0008-0000-0100-00001D000000}"/>
            </a:ext>
          </a:extLst>
        </xdr:cNvPr>
        <xdr:cNvSpPr/>
      </xdr:nvSpPr>
      <xdr:spPr>
        <a:xfrm>
          <a:off x="8754328" y="239837"/>
          <a:ext cx="1268905" cy="396240"/>
        </a:xfrm>
        <a:prstGeom prst="roundRect">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editAs="absolute">
    <xdr:from>
      <xdr:col>9</xdr:col>
      <xdr:colOff>54682</xdr:colOff>
      <xdr:row>1</xdr:row>
      <xdr:rowOff>98789</xdr:rowOff>
    </xdr:from>
    <xdr:to>
      <xdr:col>10</xdr:col>
      <xdr:colOff>11169</xdr:colOff>
      <xdr:row>3</xdr:row>
      <xdr:rowOff>68309</xdr:rowOff>
    </xdr:to>
    <xdr:sp macro="" textlink="">
      <xdr:nvSpPr>
        <xdr:cNvPr id="30" name="TextBox 29">
          <a:hlinkClick xmlns:r="http://schemas.openxmlformats.org/officeDocument/2006/relationships" r:id="rId1"/>
          <a:extLst>
            <a:ext uri="{FF2B5EF4-FFF2-40B4-BE49-F238E27FC236}">
              <a16:creationId xmlns:a16="http://schemas.microsoft.com/office/drawing/2014/main" id="{00000000-0008-0000-0100-00001E000000}"/>
            </a:ext>
          </a:extLst>
        </xdr:cNvPr>
        <xdr:cNvSpPr txBox="1"/>
      </xdr:nvSpPr>
      <xdr:spPr>
        <a:xfrm>
          <a:off x="7849942" y="281669"/>
          <a:ext cx="787067"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solidFill>
                <a:schemeClr val="tx1"/>
              </a:solidFill>
              <a:latin typeface="Arial Rounded MT Bold" panose="020F0704030504030204" pitchFamily="34" charset="0"/>
            </a:rPr>
            <a:t>HOME</a:t>
          </a:r>
          <a:endParaRPr lang="en-ID" sz="1050">
            <a:solidFill>
              <a:schemeClr val="tx1"/>
            </a:solidFill>
            <a:latin typeface="Arial Rounded MT Bold" panose="020F0704030504030204" pitchFamily="34" charset="0"/>
          </a:endParaRPr>
        </a:p>
      </xdr:txBody>
    </xdr:sp>
    <xdr:clientData/>
  </xdr:twoCellAnchor>
  <xdr:twoCellAnchor editAs="absolute">
    <xdr:from>
      <xdr:col>10</xdr:col>
      <xdr:colOff>140115</xdr:colOff>
      <xdr:row>1</xdr:row>
      <xdr:rowOff>84405</xdr:rowOff>
    </xdr:from>
    <xdr:to>
      <xdr:col>11</xdr:col>
      <xdr:colOff>114401</xdr:colOff>
      <xdr:row>3</xdr:row>
      <xdr:rowOff>53925</xdr:rowOff>
    </xdr:to>
    <xdr:sp macro="" textlink="">
      <xdr:nvSpPr>
        <xdr:cNvPr id="31" name="TextBox 30">
          <a:hlinkClick xmlns:r="http://schemas.openxmlformats.org/officeDocument/2006/relationships" r:id="rId2"/>
          <a:extLst>
            <a:ext uri="{FF2B5EF4-FFF2-40B4-BE49-F238E27FC236}">
              <a16:creationId xmlns:a16="http://schemas.microsoft.com/office/drawing/2014/main" id="{00000000-0008-0000-0100-00001F000000}"/>
            </a:ext>
          </a:extLst>
        </xdr:cNvPr>
        <xdr:cNvSpPr txBox="1"/>
      </xdr:nvSpPr>
      <xdr:spPr>
        <a:xfrm>
          <a:off x="8765955" y="267285"/>
          <a:ext cx="1239206"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solidFill>
                <a:schemeClr val="bg1"/>
              </a:solidFill>
              <a:latin typeface="Arial Rounded MT Bold" panose="020F0704030504030204" pitchFamily="34" charset="0"/>
            </a:rPr>
            <a:t>TRANSAKSI</a:t>
          </a:r>
          <a:endParaRPr lang="en-ID" sz="1600">
            <a:solidFill>
              <a:schemeClr val="bg1"/>
            </a:solidFill>
            <a:latin typeface="Arial Rounded MT Bold" panose="020F0704030504030204" pitchFamily="34" charset="0"/>
          </a:endParaRPr>
        </a:p>
      </xdr:txBody>
    </xdr:sp>
    <xdr:clientData/>
  </xdr:twoCellAnchor>
  <xdr:twoCellAnchor editAs="absolute">
    <xdr:from>
      <xdr:col>11</xdr:col>
      <xdr:colOff>204541</xdr:colOff>
      <xdr:row>1</xdr:row>
      <xdr:rowOff>99060</xdr:rowOff>
    </xdr:from>
    <xdr:to>
      <xdr:col>12</xdr:col>
      <xdr:colOff>381570</xdr:colOff>
      <xdr:row>3</xdr:row>
      <xdr:rowOff>68580</xdr:rowOff>
    </xdr:to>
    <xdr:sp macro="" textlink="">
      <xdr:nvSpPr>
        <xdr:cNvPr id="32" name="TextBox 31">
          <a:hlinkClick xmlns:r="http://schemas.openxmlformats.org/officeDocument/2006/relationships" r:id="rId3"/>
          <a:extLst>
            <a:ext uri="{FF2B5EF4-FFF2-40B4-BE49-F238E27FC236}">
              <a16:creationId xmlns:a16="http://schemas.microsoft.com/office/drawing/2014/main" id="{00000000-0008-0000-0100-000020000000}"/>
            </a:ext>
          </a:extLst>
        </xdr:cNvPr>
        <xdr:cNvSpPr txBox="1"/>
      </xdr:nvSpPr>
      <xdr:spPr>
        <a:xfrm>
          <a:off x="10095301" y="281940"/>
          <a:ext cx="1419089"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STOK</a:t>
          </a:r>
          <a:r>
            <a:rPr lang="en-ID" sz="1400" baseline="0">
              <a:latin typeface="Arial Rounded MT Bold" panose="020F0704030504030204" pitchFamily="34" charset="0"/>
            </a:rPr>
            <a:t> AKHIR</a:t>
          </a:r>
          <a:endParaRPr lang="en-ID" sz="1400">
            <a:latin typeface="Arial Rounded MT Bold" panose="020F0704030504030204" pitchFamily="34" charset="0"/>
          </a:endParaRPr>
        </a:p>
      </xdr:txBody>
    </xdr:sp>
    <xdr:clientData/>
  </xdr:twoCellAnchor>
  <xdr:twoCellAnchor editAs="absolute">
    <xdr:from>
      <xdr:col>12</xdr:col>
      <xdr:colOff>461580</xdr:colOff>
      <xdr:row>1</xdr:row>
      <xdr:rowOff>99060</xdr:rowOff>
    </xdr:from>
    <xdr:to>
      <xdr:col>13</xdr:col>
      <xdr:colOff>562021</xdr:colOff>
      <xdr:row>3</xdr:row>
      <xdr:rowOff>68580</xdr:rowOff>
    </xdr:to>
    <xdr:sp macro="" textlink="">
      <xdr:nvSpPr>
        <xdr:cNvPr id="33" name="TextBox 32">
          <a:hlinkClick xmlns:r="http://schemas.openxmlformats.org/officeDocument/2006/relationships" r:id="rId4"/>
          <a:extLst>
            <a:ext uri="{FF2B5EF4-FFF2-40B4-BE49-F238E27FC236}">
              <a16:creationId xmlns:a16="http://schemas.microsoft.com/office/drawing/2014/main" id="{00000000-0008-0000-0100-000021000000}"/>
            </a:ext>
          </a:extLst>
        </xdr:cNvPr>
        <xdr:cNvSpPr txBox="1"/>
      </xdr:nvSpPr>
      <xdr:spPr>
        <a:xfrm>
          <a:off x="11594400" y="281940"/>
          <a:ext cx="710041"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DATA</a:t>
          </a:r>
          <a:endParaRPr lang="en-ID" sz="1600">
            <a:latin typeface="Arial Rounded MT Bold" panose="020F0704030504030204" pitchFamily="34" charset="0"/>
          </a:endParaRPr>
        </a:p>
      </xdr:txBody>
    </xdr:sp>
    <xdr:clientData/>
  </xdr:twoCellAnchor>
  <xdr:twoCellAnchor editAs="absolute">
    <xdr:from>
      <xdr:col>14</xdr:col>
      <xdr:colOff>52809</xdr:colOff>
      <xdr:row>1</xdr:row>
      <xdr:rowOff>99060</xdr:rowOff>
    </xdr:from>
    <xdr:to>
      <xdr:col>15</xdr:col>
      <xdr:colOff>457795</xdr:colOff>
      <xdr:row>3</xdr:row>
      <xdr:rowOff>68580</xdr:rowOff>
    </xdr:to>
    <xdr:sp macro="" textlink="">
      <xdr:nvSpPr>
        <xdr:cNvPr id="34" name="TextBox 33">
          <a:hlinkClick xmlns:r="http://schemas.openxmlformats.org/officeDocument/2006/relationships" r:id="rId5"/>
          <a:extLst>
            <a:ext uri="{FF2B5EF4-FFF2-40B4-BE49-F238E27FC236}">
              <a16:creationId xmlns:a16="http://schemas.microsoft.com/office/drawing/2014/main" id="{00000000-0008-0000-0100-000022000000}"/>
            </a:ext>
          </a:extLst>
        </xdr:cNvPr>
        <xdr:cNvSpPr txBox="1"/>
      </xdr:nvSpPr>
      <xdr:spPr>
        <a:xfrm>
          <a:off x="12404829" y="281940"/>
          <a:ext cx="1014586"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SEARCH</a:t>
          </a:r>
        </a:p>
      </xdr:txBody>
    </xdr:sp>
    <xdr:clientData/>
  </xdr:twoCellAnchor>
  <xdr:twoCellAnchor>
    <xdr:from>
      <xdr:col>5</xdr:col>
      <xdr:colOff>396240</xdr:colOff>
      <xdr:row>1</xdr:row>
      <xdr:rowOff>99060</xdr:rowOff>
    </xdr:from>
    <xdr:to>
      <xdr:col>7</xdr:col>
      <xdr:colOff>38100</xdr:colOff>
      <xdr:row>3</xdr:row>
      <xdr:rowOff>83820</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3444240" y="281940"/>
          <a:ext cx="17526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600" baseline="0">
              <a:latin typeface="Arial Rounded MT Bold" panose="020F0704030504030204" pitchFamily="34" charset="0"/>
            </a:rPr>
            <a:t> </a:t>
          </a:r>
          <a:endParaRPr lang="en-ID" sz="1600">
            <a:latin typeface="Arial Rounded MT Bold" panose="020F0704030504030204" pitchFamily="34" charset="0"/>
          </a:endParaRPr>
        </a:p>
      </xdr:txBody>
    </xdr:sp>
    <xdr:clientData/>
  </xdr:twoCellAnchor>
  <xdr:twoCellAnchor editAs="absolute">
    <xdr:from>
      <xdr:col>5</xdr:col>
      <xdr:colOff>373380</xdr:colOff>
      <xdr:row>1</xdr:row>
      <xdr:rowOff>91440</xdr:rowOff>
    </xdr:from>
    <xdr:to>
      <xdr:col>7</xdr:col>
      <xdr:colOff>9758</xdr:colOff>
      <xdr:row>3</xdr:row>
      <xdr:rowOff>76200</xdr:rowOff>
    </xdr:to>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3421380" y="274320"/>
          <a:ext cx="1747118"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D" sz="1600">
              <a:latin typeface="Arial Rounded MT Bold" panose="020F0704030504030204" pitchFamily="34" charset="0"/>
            </a:rPr>
            <a:t>TRANSAKSI</a:t>
          </a:r>
        </a:p>
      </xdr:txBody>
    </xdr:sp>
    <xdr:clientData/>
  </xdr:twoCellAnchor>
  <xdr:twoCellAnchor editAs="absolute">
    <xdr:from>
      <xdr:col>4</xdr:col>
      <xdr:colOff>586740</xdr:colOff>
      <xdr:row>1</xdr:row>
      <xdr:rowOff>76200</xdr:rowOff>
    </xdr:from>
    <xdr:to>
      <xdr:col>5</xdr:col>
      <xdr:colOff>335280</xdr:colOff>
      <xdr:row>3</xdr:row>
      <xdr:rowOff>68580</xdr:rowOff>
    </xdr:to>
    <xdr:pic>
      <xdr:nvPicPr>
        <xdr:cNvPr id="3" name="Graphic 2" descr="Shopping cart with solid fill">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025140" y="259080"/>
          <a:ext cx="358140" cy="358140"/>
        </a:xfrm>
        <a:prstGeom prst="rect">
          <a:avLst/>
        </a:prstGeom>
      </xdr:spPr>
    </xdr:pic>
    <xdr:clientData/>
  </xdr:twoCellAnchor>
  <xdr:twoCellAnchor editAs="absolute">
    <xdr:from>
      <xdr:col>11</xdr:col>
      <xdr:colOff>231050</xdr:colOff>
      <xdr:row>6</xdr:row>
      <xdr:rowOff>72126</xdr:rowOff>
    </xdr:from>
    <xdr:to>
      <xdr:col>11</xdr:col>
      <xdr:colOff>1068126</xdr:colOff>
      <xdr:row>8</xdr:row>
      <xdr:rowOff>37090</xdr:rowOff>
    </xdr:to>
    <xdr:sp macro="[0]!InputData"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0158124" y="1191799"/>
          <a:ext cx="842973" cy="338189"/>
        </a:xfrm>
        <a:prstGeom prst="roundRect">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b="0">
              <a:latin typeface="Arial Rounded MT Bold" panose="020F0704030504030204" pitchFamily="34" charset="0"/>
            </a:rPr>
            <a:t>INPUT</a:t>
          </a:r>
        </a:p>
      </xdr:txBody>
    </xdr:sp>
    <xdr:clientData/>
  </xdr:twoCellAnchor>
  <xdr:twoCellAnchor editAs="absolute">
    <xdr:from>
      <xdr:col>8</xdr:col>
      <xdr:colOff>231040</xdr:colOff>
      <xdr:row>5</xdr:row>
      <xdr:rowOff>57509</xdr:rowOff>
    </xdr:from>
    <xdr:to>
      <xdr:col>9</xdr:col>
      <xdr:colOff>392010</xdr:colOff>
      <xdr:row>8</xdr:row>
      <xdr:rowOff>165673</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6647080" y="971909"/>
          <a:ext cx="1540190" cy="656804"/>
          <a:chOff x="6617938" y="976960"/>
          <a:chExt cx="1551244" cy="654061"/>
        </a:xfrm>
      </xdr:grpSpPr>
      <xdr:sp macro="" textlink="">
        <xdr:nvSpPr>
          <xdr:cNvPr id="25" name="Rectangle: Rounded Corners 24">
            <a:extLst>
              <a:ext uri="{FF2B5EF4-FFF2-40B4-BE49-F238E27FC236}">
                <a16:creationId xmlns:a16="http://schemas.microsoft.com/office/drawing/2014/main" id="{00000000-0008-0000-0100-000019000000}"/>
              </a:ext>
            </a:extLst>
          </xdr:cNvPr>
          <xdr:cNvSpPr/>
        </xdr:nvSpPr>
        <xdr:spPr>
          <a:xfrm>
            <a:off x="6620150" y="978431"/>
            <a:ext cx="1547429" cy="65259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42" name="Rectangle: Top Corners Rounded 41">
            <a:extLst>
              <a:ext uri="{FF2B5EF4-FFF2-40B4-BE49-F238E27FC236}">
                <a16:creationId xmlns:a16="http://schemas.microsoft.com/office/drawing/2014/main" id="{00000000-0008-0000-0100-00002A000000}"/>
              </a:ext>
            </a:extLst>
          </xdr:cNvPr>
          <xdr:cNvSpPr/>
        </xdr:nvSpPr>
        <xdr:spPr>
          <a:xfrm>
            <a:off x="6619364" y="977262"/>
            <a:ext cx="1549818" cy="258170"/>
          </a:xfrm>
          <a:prstGeom prst="round2SameRect">
            <a:avLst>
              <a:gd name="adj1" fmla="val 45588"/>
              <a:gd name="adj2" fmla="val 0"/>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6617938" y="976960"/>
            <a:ext cx="1546669" cy="246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000" b="0" baseline="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rPr>
              <a:t>TOTAL KELUAR</a:t>
            </a:r>
            <a:endParaRPr lang="en-ID" sz="1000" b="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grpSp>
    <xdr:clientData/>
  </xdr:twoCellAnchor>
  <xdr:twoCellAnchor editAs="absolute">
    <xdr:from>
      <xdr:col>6</xdr:col>
      <xdr:colOff>899099</xdr:colOff>
      <xdr:row>5</xdr:row>
      <xdr:rowOff>57275</xdr:rowOff>
    </xdr:from>
    <xdr:to>
      <xdr:col>7</xdr:col>
      <xdr:colOff>1244235</xdr:colOff>
      <xdr:row>8</xdr:row>
      <xdr:rowOff>167640</xdr:rowOff>
    </xdr:to>
    <xdr:grpSp>
      <xdr:nvGrpSpPr>
        <xdr:cNvPr id="7" name="Group 6">
          <a:extLst>
            <a:ext uri="{FF2B5EF4-FFF2-40B4-BE49-F238E27FC236}">
              <a16:creationId xmlns:a16="http://schemas.microsoft.com/office/drawing/2014/main" id="{00000000-0008-0000-0100-000007000000}"/>
            </a:ext>
          </a:extLst>
        </xdr:cNvPr>
        <xdr:cNvGrpSpPr/>
      </xdr:nvGrpSpPr>
      <xdr:grpSpPr>
        <a:xfrm>
          <a:off x="4838639" y="971675"/>
          <a:ext cx="1564336" cy="659005"/>
          <a:chOff x="4853995" y="967126"/>
          <a:chExt cx="1553477" cy="656275"/>
        </a:xfrm>
      </xdr:grpSpPr>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4857087" y="970811"/>
            <a:ext cx="1548376" cy="65259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43" name="Rectangle: Top Corners Rounded 42">
            <a:extLst>
              <a:ext uri="{FF2B5EF4-FFF2-40B4-BE49-F238E27FC236}">
                <a16:creationId xmlns:a16="http://schemas.microsoft.com/office/drawing/2014/main" id="{00000000-0008-0000-0100-00002B000000}"/>
              </a:ext>
            </a:extLst>
          </xdr:cNvPr>
          <xdr:cNvSpPr/>
        </xdr:nvSpPr>
        <xdr:spPr>
          <a:xfrm>
            <a:off x="4855855" y="967126"/>
            <a:ext cx="1550232" cy="258170"/>
          </a:xfrm>
          <a:prstGeom prst="round2SameRect">
            <a:avLst>
              <a:gd name="adj1" fmla="val 45588"/>
              <a:gd name="adj2" fmla="val 0"/>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4853995" y="972717"/>
            <a:ext cx="1553477" cy="25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000" b="0" baseline="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rPr>
              <a:t>TOTAL MASUK</a:t>
            </a:r>
            <a:endParaRPr lang="en-ID" sz="1000" b="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grpSp>
    <xdr:clientData/>
  </xdr:twoCellAnchor>
  <xdr:twoCellAnchor editAs="absolute">
    <xdr:from>
      <xdr:col>5</xdr:col>
      <xdr:colOff>58362</xdr:colOff>
      <xdr:row>5</xdr:row>
      <xdr:rowOff>55304</xdr:rowOff>
    </xdr:from>
    <xdr:to>
      <xdr:col>6</xdr:col>
      <xdr:colOff>698709</xdr:colOff>
      <xdr:row>8</xdr:row>
      <xdr:rowOff>164164</xdr:rowOff>
    </xdr:to>
    <xdr:grpSp>
      <xdr:nvGrpSpPr>
        <xdr:cNvPr id="6" name="Group 5">
          <a:extLst>
            <a:ext uri="{FF2B5EF4-FFF2-40B4-BE49-F238E27FC236}">
              <a16:creationId xmlns:a16="http://schemas.microsoft.com/office/drawing/2014/main" id="{00000000-0008-0000-0100-000006000000}"/>
            </a:ext>
          </a:extLst>
        </xdr:cNvPr>
        <xdr:cNvGrpSpPr/>
      </xdr:nvGrpSpPr>
      <xdr:grpSpPr>
        <a:xfrm>
          <a:off x="3106362" y="969704"/>
          <a:ext cx="1531887" cy="657500"/>
          <a:chOff x="3067031" y="955571"/>
          <a:chExt cx="1548121" cy="652590"/>
        </a:xfrm>
      </xdr:grpSpPr>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3067031" y="955571"/>
            <a:ext cx="1546216" cy="65259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44" name="Rectangle: Top Corners Rounded 43">
            <a:extLst>
              <a:ext uri="{FF2B5EF4-FFF2-40B4-BE49-F238E27FC236}">
                <a16:creationId xmlns:a16="http://schemas.microsoft.com/office/drawing/2014/main" id="{00000000-0008-0000-0100-00002C000000}"/>
              </a:ext>
            </a:extLst>
          </xdr:cNvPr>
          <xdr:cNvSpPr/>
        </xdr:nvSpPr>
        <xdr:spPr>
          <a:xfrm>
            <a:off x="3067031" y="955571"/>
            <a:ext cx="1548121" cy="258170"/>
          </a:xfrm>
          <a:prstGeom prst="round2SameRect">
            <a:avLst>
              <a:gd name="adj1" fmla="val 45588"/>
              <a:gd name="adj2" fmla="val 0"/>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3071560" y="963191"/>
            <a:ext cx="1538028" cy="24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000" b="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rPr>
              <a:t>ENTRI</a:t>
            </a:r>
            <a:r>
              <a:rPr lang="en-ID" sz="1000" b="0" baseline="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rPr>
              <a:t> TOTAL</a:t>
            </a:r>
            <a:endParaRPr lang="en-ID" sz="1000" b="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grpSp>
    <xdr:clientData/>
  </xdr:twoCellAnchor>
  <xdr:twoCellAnchor editAs="absolute">
    <xdr:from>
      <xdr:col>5</xdr:col>
      <xdr:colOff>62297</xdr:colOff>
      <xdr:row>6</xdr:row>
      <xdr:rowOff>132808</xdr:rowOff>
    </xdr:from>
    <xdr:to>
      <xdr:col>6</xdr:col>
      <xdr:colOff>693022</xdr:colOff>
      <xdr:row>8</xdr:row>
      <xdr:rowOff>158150</xdr:rowOff>
    </xdr:to>
    <xdr:sp macro="" textlink="Dapur!$A$14">
      <xdr:nvSpPr>
        <xdr:cNvPr id="47" name="TextBox 46">
          <a:extLst>
            <a:ext uri="{FF2B5EF4-FFF2-40B4-BE49-F238E27FC236}">
              <a16:creationId xmlns:a16="http://schemas.microsoft.com/office/drawing/2014/main" id="{00000000-0008-0000-0100-00002F000000}"/>
            </a:ext>
          </a:extLst>
        </xdr:cNvPr>
        <xdr:cNvSpPr txBox="1"/>
      </xdr:nvSpPr>
      <xdr:spPr>
        <a:xfrm>
          <a:off x="3105505" y="1225487"/>
          <a:ext cx="1538378" cy="389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2E1536-01E7-47B0-84E5-C7DC69031765}" type="TxLink">
            <a:rPr lang="en-US" sz="2000" b="0" i="0" u="none" strike="noStrike">
              <a:solidFill>
                <a:srgbClr val="000000"/>
              </a:solidFill>
              <a:latin typeface="Arial Rounded MT Bold" panose="020F0704030504030204" pitchFamily="34" charset="0"/>
              <a:ea typeface="Calibri"/>
              <a:cs typeface="Calibri"/>
            </a:rPr>
            <a:pPr algn="ctr"/>
            <a:t>73</a:t>
          </a:fld>
          <a:endParaRPr lang="en-ID" sz="2000" b="1">
            <a:latin typeface="Arial Rounded MT Bold" panose="020F0704030504030204" pitchFamily="34" charset="0"/>
          </a:endParaRPr>
        </a:p>
      </xdr:txBody>
    </xdr:sp>
    <xdr:clientData/>
  </xdr:twoCellAnchor>
  <xdr:twoCellAnchor editAs="absolute">
    <xdr:from>
      <xdr:col>6</xdr:col>
      <xdr:colOff>908687</xdr:colOff>
      <xdr:row>6</xdr:row>
      <xdr:rowOff>140208</xdr:rowOff>
    </xdr:from>
    <xdr:to>
      <xdr:col>7</xdr:col>
      <xdr:colOff>1239443</xdr:colOff>
      <xdr:row>8</xdr:row>
      <xdr:rowOff>162942</xdr:rowOff>
    </xdr:to>
    <xdr:sp macro="" textlink="Dapur!$B$14">
      <xdr:nvSpPr>
        <xdr:cNvPr id="48" name="TextBox 47">
          <a:extLst>
            <a:ext uri="{FF2B5EF4-FFF2-40B4-BE49-F238E27FC236}">
              <a16:creationId xmlns:a16="http://schemas.microsoft.com/office/drawing/2014/main" id="{00000000-0008-0000-0100-000030000000}"/>
            </a:ext>
          </a:extLst>
        </xdr:cNvPr>
        <xdr:cNvSpPr txBox="1"/>
      </xdr:nvSpPr>
      <xdr:spPr>
        <a:xfrm>
          <a:off x="4859548" y="1232887"/>
          <a:ext cx="1538376" cy="386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06FE41-2C4A-47A4-9484-E0D73AA4D102}" type="TxLink">
            <a:rPr lang="en-US" sz="2000" b="0" i="0" u="none" strike="noStrike">
              <a:solidFill>
                <a:srgbClr val="000000"/>
              </a:solidFill>
              <a:latin typeface="Arial Rounded MT Bold" panose="020F0704030504030204" pitchFamily="34" charset="0"/>
              <a:ea typeface="Calibri"/>
              <a:cs typeface="Calibri"/>
            </a:rPr>
            <a:pPr algn="ctr"/>
            <a:t>2202</a:t>
          </a:fld>
          <a:endParaRPr lang="en-ID" sz="2000" b="1">
            <a:latin typeface="Arial Rounded MT Bold" panose="020F0704030504030204" pitchFamily="34" charset="0"/>
          </a:endParaRPr>
        </a:p>
      </xdr:txBody>
    </xdr:sp>
    <xdr:clientData/>
  </xdr:twoCellAnchor>
  <xdr:twoCellAnchor editAs="absolute">
    <xdr:from>
      <xdr:col>8</xdr:col>
      <xdr:colOff>226242</xdr:colOff>
      <xdr:row>6</xdr:row>
      <xdr:rowOff>138982</xdr:rowOff>
    </xdr:from>
    <xdr:to>
      <xdr:col>9</xdr:col>
      <xdr:colOff>387173</xdr:colOff>
      <xdr:row>8</xdr:row>
      <xdr:rowOff>161104</xdr:rowOff>
    </xdr:to>
    <xdr:sp macro="" textlink="Dapur!$C$14">
      <xdr:nvSpPr>
        <xdr:cNvPr id="49" name="TextBox 48">
          <a:extLst>
            <a:ext uri="{FF2B5EF4-FFF2-40B4-BE49-F238E27FC236}">
              <a16:creationId xmlns:a16="http://schemas.microsoft.com/office/drawing/2014/main" id="{00000000-0008-0000-0100-000031000000}"/>
            </a:ext>
          </a:extLst>
        </xdr:cNvPr>
        <xdr:cNvSpPr txBox="1"/>
      </xdr:nvSpPr>
      <xdr:spPr>
        <a:xfrm>
          <a:off x="6642337" y="1231661"/>
          <a:ext cx="1547961" cy="386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B315B84-8B69-4E21-B981-18515E805CE3}" type="TxLink">
            <a:rPr lang="en-US" sz="2000" b="0" i="0" u="none" strike="noStrike">
              <a:solidFill>
                <a:srgbClr val="000000"/>
              </a:solidFill>
              <a:latin typeface="Arial Rounded MT Bold" panose="020F0704030504030204" pitchFamily="34" charset="0"/>
              <a:ea typeface="Calibri"/>
              <a:cs typeface="Calibri"/>
            </a:rPr>
            <a:pPr algn="ctr"/>
            <a:t>1965</a:t>
          </a:fld>
          <a:endParaRPr lang="en-ID" sz="2000" b="1">
            <a:latin typeface="Arial Rounded MT Bold" panose="020F0704030504030204" pitchFamily="34" charset="0"/>
          </a:endParaRPr>
        </a:p>
      </xdr:txBody>
    </xdr:sp>
    <xdr:clientData/>
  </xdr:twoCellAnchor>
  <xdr:twoCellAnchor editAs="absolute">
    <xdr:from>
      <xdr:col>9</xdr:col>
      <xdr:colOff>613094</xdr:colOff>
      <xdr:row>5</xdr:row>
      <xdr:rowOff>55759</xdr:rowOff>
    </xdr:from>
    <xdr:to>
      <xdr:col>11</xdr:col>
      <xdr:colOff>68955</xdr:colOff>
      <xdr:row>8</xdr:row>
      <xdr:rowOff>164619</xdr:rowOff>
    </xdr:to>
    <xdr:grpSp>
      <xdr:nvGrpSpPr>
        <xdr:cNvPr id="11" name="Grup 10">
          <a:extLst>
            <a:ext uri="{FF2B5EF4-FFF2-40B4-BE49-F238E27FC236}">
              <a16:creationId xmlns:a16="http://schemas.microsoft.com/office/drawing/2014/main" id="{00000000-0008-0000-0100-00000B000000}"/>
            </a:ext>
          </a:extLst>
        </xdr:cNvPr>
        <xdr:cNvGrpSpPr/>
      </xdr:nvGrpSpPr>
      <xdr:grpSpPr>
        <a:xfrm>
          <a:off x="8408354" y="970159"/>
          <a:ext cx="1551361" cy="657500"/>
          <a:chOff x="8416886" y="974951"/>
          <a:chExt cx="1563457" cy="659504"/>
        </a:xfrm>
      </xdr:grpSpPr>
      <xdr:grpSp>
        <xdr:nvGrpSpPr>
          <xdr:cNvPr id="9" name="Group 8">
            <a:extLst>
              <a:ext uri="{FF2B5EF4-FFF2-40B4-BE49-F238E27FC236}">
                <a16:creationId xmlns:a16="http://schemas.microsoft.com/office/drawing/2014/main" id="{00000000-0008-0000-0100-000009000000}"/>
              </a:ext>
            </a:extLst>
          </xdr:cNvPr>
          <xdr:cNvGrpSpPr/>
        </xdr:nvGrpSpPr>
        <xdr:grpSpPr>
          <a:xfrm>
            <a:off x="8416886" y="974951"/>
            <a:ext cx="1552479" cy="659504"/>
            <a:chOff x="8407609" y="991766"/>
            <a:chExt cx="1551541" cy="653585"/>
          </a:xfrm>
        </xdr:grpSpPr>
        <xdr:sp macro="" textlink="">
          <xdr:nvSpPr>
            <xdr:cNvPr id="26" name="Rectangle: Rounded Corners 25">
              <a:extLst>
                <a:ext uri="{FF2B5EF4-FFF2-40B4-BE49-F238E27FC236}">
                  <a16:creationId xmlns:a16="http://schemas.microsoft.com/office/drawing/2014/main" id="{00000000-0008-0000-0100-00001A000000}"/>
                </a:ext>
              </a:extLst>
            </xdr:cNvPr>
            <xdr:cNvSpPr/>
          </xdr:nvSpPr>
          <xdr:spPr>
            <a:xfrm>
              <a:off x="8411419" y="993671"/>
              <a:ext cx="1547731" cy="65168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5" name="Rectangle: Top Corners Rounded 4">
              <a:extLst>
                <a:ext uri="{FF2B5EF4-FFF2-40B4-BE49-F238E27FC236}">
                  <a16:creationId xmlns:a16="http://schemas.microsoft.com/office/drawing/2014/main" id="{00000000-0008-0000-0100-000005000000}"/>
                </a:ext>
              </a:extLst>
            </xdr:cNvPr>
            <xdr:cNvSpPr/>
          </xdr:nvSpPr>
          <xdr:spPr>
            <a:xfrm>
              <a:off x="8407609" y="991766"/>
              <a:ext cx="1549636" cy="258170"/>
            </a:xfrm>
            <a:prstGeom prst="round2SameRect">
              <a:avLst>
                <a:gd name="adj1" fmla="val 45588"/>
                <a:gd name="adj2" fmla="val 0"/>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41" name="TextBox 40">
              <a:extLst>
                <a:ext uri="{FF2B5EF4-FFF2-40B4-BE49-F238E27FC236}">
                  <a16:creationId xmlns:a16="http://schemas.microsoft.com/office/drawing/2014/main" id="{00000000-0008-0000-0100-000029000000}"/>
                </a:ext>
              </a:extLst>
            </xdr:cNvPr>
            <xdr:cNvSpPr txBox="1"/>
          </xdr:nvSpPr>
          <xdr:spPr>
            <a:xfrm>
              <a:off x="8594328" y="993671"/>
              <a:ext cx="1211162" cy="258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000" b="0" baseline="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rPr>
                <a:t>RASIO KELUAR</a:t>
              </a:r>
              <a:endParaRPr lang="en-ID" sz="1000" b="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grpSp>
      <xdr:sp macro="" textlink="Dapur!$D$14">
        <xdr:nvSpPr>
          <xdr:cNvPr id="50" name="TextBox 49">
            <a:extLst>
              <a:ext uri="{FF2B5EF4-FFF2-40B4-BE49-F238E27FC236}">
                <a16:creationId xmlns:a16="http://schemas.microsoft.com/office/drawing/2014/main" id="{00000000-0008-0000-0100-000032000000}"/>
              </a:ext>
            </a:extLst>
          </xdr:cNvPr>
          <xdr:cNvSpPr txBox="1"/>
        </xdr:nvSpPr>
        <xdr:spPr>
          <a:xfrm>
            <a:off x="8427902" y="1243708"/>
            <a:ext cx="1552441" cy="3866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74A1CF-98EE-4354-9FF9-C28B8B18F1D8}" type="TxLink">
              <a:rPr lang="en-US" sz="2000" b="0" i="0" u="none" strike="noStrike">
                <a:solidFill>
                  <a:srgbClr val="000000"/>
                </a:solidFill>
                <a:latin typeface="Arial Rounded MT Bold" panose="020F0704030504030204" pitchFamily="34" charset="0"/>
                <a:ea typeface="Calibri"/>
                <a:cs typeface="Calibri"/>
              </a:rPr>
              <a:pPr algn="ctr"/>
              <a:t>47,16%</a:t>
            </a:fld>
            <a:endParaRPr lang="en-ID" sz="2000" b="1">
              <a:latin typeface="Arial Rounded MT Bold" panose="020F0704030504030204"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495300</xdr:colOff>
      <xdr:row>1</xdr:row>
      <xdr:rowOff>1482</xdr:rowOff>
    </xdr:from>
    <xdr:to>
      <xdr:col>14</xdr:col>
      <xdr:colOff>497220</xdr:colOff>
      <xdr:row>3</xdr:row>
      <xdr:rowOff>160020</xdr:rowOff>
    </xdr:to>
    <xdr:sp macro="" textlink="">
      <xdr:nvSpPr>
        <xdr:cNvPr id="18" name="Rectangle: Rounded Corners 17">
          <a:extLst>
            <a:ext uri="{FF2B5EF4-FFF2-40B4-BE49-F238E27FC236}">
              <a16:creationId xmlns:a16="http://schemas.microsoft.com/office/drawing/2014/main" id="{00000000-0008-0000-0200-000012000000}"/>
            </a:ext>
          </a:extLst>
        </xdr:cNvPr>
        <xdr:cNvSpPr/>
      </xdr:nvSpPr>
      <xdr:spPr>
        <a:xfrm>
          <a:off x="2933700" y="184362"/>
          <a:ext cx="10548000" cy="524298"/>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ID" sz="1100">
            <a:solidFill>
              <a:schemeClr val="tx1"/>
            </a:solidFill>
            <a:latin typeface="Arial Rounded MT Bold" panose="020F0704030504030204" pitchFamily="34" charset="0"/>
          </a:endParaRPr>
        </a:p>
      </xdr:txBody>
    </xdr:sp>
    <xdr:clientData/>
  </xdr:twoCellAnchor>
  <xdr:twoCellAnchor editAs="absolute">
    <xdr:from>
      <xdr:col>11</xdr:col>
      <xdr:colOff>154788</xdr:colOff>
      <xdr:row>1</xdr:row>
      <xdr:rowOff>67132</xdr:rowOff>
    </xdr:from>
    <xdr:to>
      <xdr:col>12</xdr:col>
      <xdr:colOff>199899</xdr:colOff>
      <xdr:row>3</xdr:row>
      <xdr:rowOff>97612</xdr:rowOff>
    </xdr:to>
    <xdr:sp macro="" textlink="">
      <xdr:nvSpPr>
        <xdr:cNvPr id="19" name="Rectangle: Rounded Corners 18">
          <a:extLst>
            <a:ext uri="{FF2B5EF4-FFF2-40B4-BE49-F238E27FC236}">
              <a16:creationId xmlns:a16="http://schemas.microsoft.com/office/drawing/2014/main" id="{00000000-0008-0000-0200-000013000000}"/>
            </a:ext>
          </a:extLst>
        </xdr:cNvPr>
        <xdr:cNvSpPr/>
      </xdr:nvSpPr>
      <xdr:spPr>
        <a:xfrm>
          <a:off x="10129368" y="250012"/>
          <a:ext cx="1355751" cy="396240"/>
        </a:xfrm>
        <a:prstGeom prst="roundRect">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editAs="absolute">
    <xdr:from>
      <xdr:col>8</xdr:col>
      <xdr:colOff>1165155</xdr:colOff>
      <xdr:row>1</xdr:row>
      <xdr:rowOff>98789</xdr:rowOff>
    </xdr:from>
    <xdr:to>
      <xdr:col>9</xdr:col>
      <xdr:colOff>773046</xdr:colOff>
      <xdr:row>3</xdr:row>
      <xdr:rowOff>68309</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200-000014000000}"/>
            </a:ext>
          </a:extLst>
        </xdr:cNvPr>
        <xdr:cNvSpPr txBox="1"/>
      </xdr:nvSpPr>
      <xdr:spPr>
        <a:xfrm>
          <a:off x="7863135" y="281669"/>
          <a:ext cx="773751"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solidFill>
                <a:schemeClr val="tx1"/>
              </a:solidFill>
              <a:latin typeface="Arial Rounded MT Bold" panose="020F0704030504030204" pitchFamily="34" charset="0"/>
            </a:rPr>
            <a:t>HOME</a:t>
          </a:r>
          <a:endParaRPr lang="en-ID" sz="1050">
            <a:solidFill>
              <a:schemeClr val="tx1"/>
            </a:solidFill>
            <a:latin typeface="Arial Rounded MT Bold" panose="020F0704030504030204" pitchFamily="34" charset="0"/>
          </a:endParaRPr>
        </a:p>
      </xdr:txBody>
    </xdr:sp>
    <xdr:clientData/>
  </xdr:twoCellAnchor>
  <xdr:twoCellAnchor editAs="absolute">
    <xdr:from>
      <xdr:col>9</xdr:col>
      <xdr:colOff>811146</xdr:colOff>
      <xdr:row>1</xdr:row>
      <xdr:rowOff>99060</xdr:rowOff>
    </xdr:from>
    <xdr:to>
      <xdr:col>11</xdr:col>
      <xdr:colOff>120825</xdr:colOff>
      <xdr:row>3</xdr:row>
      <xdr:rowOff>68580</xdr:rowOff>
    </xdr:to>
    <xdr:sp macro="" textlink="">
      <xdr:nvSpPr>
        <xdr:cNvPr id="21" name="TextBox 20">
          <a:hlinkClick xmlns:r="http://schemas.openxmlformats.org/officeDocument/2006/relationships" r:id="rId2"/>
          <a:extLst>
            <a:ext uri="{FF2B5EF4-FFF2-40B4-BE49-F238E27FC236}">
              <a16:creationId xmlns:a16="http://schemas.microsoft.com/office/drawing/2014/main" id="{00000000-0008-0000-0200-000015000000}"/>
            </a:ext>
          </a:extLst>
        </xdr:cNvPr>
        <xdr:cNvSpPr txBox="1"/>
      </xdr:nvSpPr>
      <xdr:spPr>
        <a:xfrm>
          <a:off x="8674986" y="281940"/>
          <a:ext cx="1420419"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TRANSAKSI</a:t>
          </a:r>
          <a:endParaRPr lang="en-ID" sz="1600">
            <a:latin typeface="Arial Rounded MT Bold" panose="020F0704030504030204" pitchFamily="34" charset="0"/>
          </a:endParaRPr>
        </a:p>
      </xdr:txBody>
    </xdr:sp>
    <xdr:clientData/>
  </xdr:twoCellAnchor>
  <xdr:twoCellAnchor editAs="absolute">
    <xdr:from>
      <xdr:col>10</xdr:col>
      <xdr:colOff>1037529</xdr:colOff>
      <xdr:row>1</xdr:row>
      <xdr:rowOff>99060</xdr:rowOff>
    </xdr:from>
    <xdr:to>
      <xdr:col>12</xdr:col>
      <xdr:colOff>403242</xdr:colOff>
      <xdr:row>3</xdr:row>
      <xdr:rowOff>68580</xdr:rowOff>
    </xdr:to>
    <xdr:sp macro="" textlink="">
      <xdr:nvSpPr>
        <xdr:cNvPr id="22" name="TextBox 21">
          <a:hlinkClick xmlns:r="http://schemas.openxmlformats.org/officeDocument/2006/relationships" r:id="rId3"/>
          <a:extLst>
            <a:ext uri="{FF2B5EF4-FFF2-40B4-BE49-F238E27FC236}">
              <a16:creationId xmlns:a16="http://schemas.microsoft.com/office/drawing/2014/main" id="{00000000-0008-0000-0200-000016000000}"/>
            </a:ext>
          </a:extLst>
        </xdr:cNvPr>
        <xdr:cNvSpPr txBox="1"/>
      </xdr:nvSpPr>
      <xdr:spPr>
        <a:xfrm>
          <a:off x="9937689" y="281940"/>
          <a:ext cx="1750773"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solidFill>
                <a:schemeClr val="bg1"/>
              </a:solidFill>
              <a:latin typeface="Arial Rounded MT Bold" panose="020F0704030504030204" pitchFamily="34" charset="0"/>
            </a:rPr>
            <a:t>STOK</a:t>
          </a:r>
          <a:r>
            <a:rPr lang="en-ID" sz="1400" baseline="0">
              <a:solidFill>
                <a:schemeClr val="bg1"/>
              </a:solidFill>
              <a:latin typeface="Arial Rounded MT Bold" panose="020F0704030504030204" pitchFamily="34" charset="0"/>
            </a:rPr>
            <a:t> AKHIR</a:t>
          </a:r>
          <a:endParaRPr lang="en-ID" sz="1400">
            <a:solidFill>
              <a:schemeClr val="bg1"/>
            </a:solidFill>
            <a:latin typeface="Arial Rounded MT Bold" panose="020F0704030504030204" pitchFamily="34" charset="0"/>
          </a:endParaRPr>
        </a:p>
      </xdr:txBody>
    </xdr:sp>
    <xdr:clientData/>
  </xdr:twoCellAnchor>
  <xdr:twoCellAnchor editAs="absolute">
    <xdr:from>
      <xdr:col>12</xdr:col>
      <xdr:colOff>296562</xdr:colOff>
      <xdr:row>1</xdr:row>
      <xdr:rowOff>99060</xdr:rowOff>
    </xdr:from>
    <xdr:to>
      <xdr:col>13</xdr:col>
      <xdr:colOff>243185</xdr:colOff>
      <xdr:row>3</xdr:row>
      <xdr:rowOff>68580</xdr:rowOff>
    </xdr:to>
    <xdr:sp macro="" textlink="">
      <xdr:nvSpPr>
        <xdr:cNvPr id="23" name="TextBox 22">
          <a:hlinkClick xmlns:r="http://schemas.openxmlformats.org/officeDocument/2006/relationships" r:id="rId4"/>
          <a:extLst>
            <a:ext uri="{FF2B5EF4-FFF2-40B4-BE49-F238E27FC236}">
              <a16:creationId xmlns:a16="http://schemas.microsoft.com/office/drawing/2014/main" id="{00000000-0008-0000-0200-000017000000}"/>
            </a:ext>
          </a:extLst>
        </xdr:cNvPr>
        <xdr:cNvSpPr txBox="1"/>
      </xdr:nvSpPr>
      <xdr:spPr>
        <a:xfrm>
          <a:off x="11581782" y="281940"/>
          <a:ext cx="723863"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DATA</a:t>
          </a:r>
          <a:endParaRPr lang="en-ID" sz="1600">
            <a:latin typeface="Arial Rounded MT Bold" panose="020F0704030504030204" pitchFamily="34" charset="0"/>
          </a:endParaRPr>
        </a:p>
      </xdr:txBody>
    </xdr:sp>
    <xdr:clientData/>
  </xdr:twoCellAnchor>
  <xdr:twoCellAnchor editAs="absolute">
    <xdr:from>
      <xdr:col>13</xdr:col>
      <xdr:colOff>372725</xdr:colOff>
      <xdr:row>1</xdr:row>
      <xdr:rowOff>99060</xdr:rowOff>
    </xdr:from>
    <xdr:to>
      <xdr:col>14</xdr:col>
      <xdr:colOff>406372</xdr:colOff>
      <xdr:row>3</xdr:row>
      <xdr:rowOff>68580</xdr:rowOff>
    </xdr:to>
    <xdr:sp macro="" textlink="">
      <xdr:nvSpPr>
        <xdr:cNvPr id="24" name="TextBox 23">
          <a:hlinkClick xmlns:r="http://schemas.openxmlformats.org/officeDocument/2006/relationships" r:id="rId5"/>
          <a:extLst>
            <a:ext uri="{FF2B5EF4-FFF2-40B4-BE49-F238E27FC236}">
              <a16:creationId xmlns:a16="http://schemas.microsoft.com/office/drawing/2014/main" id="{00000000-0008-0000-0200-000018000000}"/>
            </a:ext>
          </a:extLst>
        </xdr:cNvPr>
        <xdr:cNvSpPr txBox="1"/>
      </xdr:nvSpPr>
      <xdr:spPr>
        <a:xfrm>
          <a:off x="12435185" y="281940"/>
          <a:ext cx="955667"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SEARCH</a:t>
          </a:r>
        </a:p>
      </xdr:txBody>
    </xdr:sp>
    <xdr:clientData/>
  </xdr:twoCellAnchor>
  <xdr:twoCellAnchor editAs="absolute">
    <xdr:from>
      <xdr:col>0</xdr:col>
      <xdr:colOff>259080</xdr:colOff>
      <xdr:row>1</xdr:row>
      <xdr:rowOff>1482</xdr:rowOff>
    </xdr:from>
    <xdr:to>
      <xdr:col>4</xdr:col>
      <xdr:colOff>160680</xdr:colOff>
      <xdr:row>47</xdr:row>
      <xdr:rowOff>15402</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259080" y="184362"/>
          <a:ext cx="2340000" cy="9036000"/>
        </a:xfrm>
        <a:prstGeom prst="roundRect">
          <a:avLst>
            <a:gd name="adj" fmla="val 5593"/>
          </a:avLst>
        </a:prstGeom>
        <a:solidFill>
          <a:schemeClr val="accent3">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editAs="absolute">
    <xdr:from>
      <xdr:col>0</xdr:col>
      <xdr:colOff>518160</xdr:colOff>
      <xdr:row>2</xdr:row>
      <xdr:rowOff>38101</xdr:rowOff>
    </xdr:from>
    <xdr:to>
      <xdr:col>3</xdr:col>
      <xdr:colOff>518160</xdr:colOff>
      <xdr:row>8</xdr:row>
      <xdr:rowOff>106992</xdr:rowOff>
    </xdr:to>
    <mc:AlternateContent xmlns:mc="http://schemas.openxmlformats.org/markup-compatibility/2006" xmlns:sle15="http://schemas.microsoft.com/office/drawing/2012/slicer">
      <mc:Choice Requires="sle15">
        <xdr:graphicFrame macro="">
          <xdr:nvGraphicFramePr>
            <xdr:cNvPr id="2" name="Status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518160" y="403861"/>
              <a:ext cx="1828800" cy="1181411"/>
            </a:xfrm>
            <a:prstGeom prst="rect">
              <a:avLst/>
            </a:prstGeom>
            <a:solidFill>
              <a:prstClr val="white"/>
            </a:solidFill>
            <a:ln w="1">
              <a:solidFill>
                <a:prstClr val="green"/>
              </a:solidFill>
            </a:ln>
          </xdr:spPr>
          <xdr:txBody>
            <a:bodyPr vertOverflow="clip" horzOverflow="clip"/>
            <a:lstStyle/>
            <a:p>
              <a:r>
                <a:rPr lang="id-ID" sz="1100"/>
                <a:t>Bentuk ini mewakili pemotong tabel. Pemotong tabel tidak didukung di versi Excel ini.
Jika bentuk ini diubah di Excel versi sebelumnya, atau jika buku kerja disimpan di Excel 2007 atau yang lebih lama, pemotong tidak dapat digunakan.</a:t>
              </a:r>
            </a:p>
          </xdr:txBody>
        </xdr:sp>
      </mc:Fallback>
    </mc:AlternateContent>
    <xdr:clientData/>
  </xdr:twoCellAnchor>
  <xdr:twoCellAnchor editAs="absolute">
    <xdr:from>
      <xdr:col>5</xdr:col>
      <xdr:colOff>365760</xdr:colOff>
      <xdr:row>1</xdr:row>
      <xdr:rowOff>91440</xdr:rowOff>
    </xdr:from>
    <xdr:to>
      <xdr:col>6</xdr:col>
      <xdr:colOff>1209739</xdr:colOff>
      <xdr:row>3</xdr:row>
      <xdr:rowOff>76200</xdr:rowOff>
    </xdr:to>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3413760" y="274320"/>
          <a:ext cx="2063179"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D" sz="1600">
              <a:latin typeface="Arial Rounded MT Bold" panose="020F0704030504030204" pitchFamily="34" charset="0"/>
            </a:rPr>
            <a:t>STOK</a:t>
          </a:r>
          <a:r>
            <a:rPr lang="en-ID" sz="1600" baseline="0">
              <a:latin typeface="Arial Rounded MT Bold" panose="020F0704030504030204" pitchFamily="34" charset="0"/>
            </a:rPr>
            <a:t> AKHIR</a:t>
          </a:r>
          <a:endParaRPr lang="en-ID" sz="1600">
            <a:latin typeface="Arial Rounded MT Bold" panose="020F0704030504030204" pitchFamily="34" charset="0"/>
          </a:endParaRPr>
        </a:p>
      </xdr:txBody>
    </xdr:sp>
    <xdr:clientData/>
  </xdr:twoCellAnchor>
  <xdr:twoCellAnchor editAs="absolute">
    <xdr:from>
      <xdr:col>4</xdr:col>
      <xdr:colOff>563880</xdr:colOff>
      <xdr:row>1</xdr:row>
      <xdr:rowOff>53340</xdr:rowOff>
    </xdr:from>
    <xdr:to>
      <xdr:col>5</xdr:col>
      <xdr:colOff>373380</xdr:colOff>
      <xdr:row>3</xdr:row>
      <xdr:rowOff>106680</xdr:rowOff>
    </xdr:to>
    <xdr:pic>
      <xdr:nvPicPr>
        <xdr:cNvPr id="14" name="Graphic 13" descr="Checklist with solid fill">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002280" y="236220"/>
          <a:ext cx="419100" cy="419100"/>
        </a:xfrm>
        <a:prstGeom prst="rect">
          <a:avLst/>
        </a:prstGeom>
      </xdr:spPr>
    </xdr:pic>
    <xdr:clientData/>
  </xdr:twoCellAnchor>
  <xdr:twoCellAnchor editAs="absolute">
    <xdr:from>
      <xdr:col>6</xdr:col>
      <xdr:colOff>1039328</xdr:colOff>
      <xdr:row>4</xdr:row>
      <xdr:rowOff>121920</xdr:rowOff>
    </xdr:from>
    <xdr:to>
      <xdr:col>8</xdr:col>
      <xdr:colOff>299586</xdr:colOff>
      <xdr:row>9</xdr:row>
      <xdr:rowOff>41040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5306528" y="853440"/>
          <a:ext cx="1691038" cy="864000"/>
          <a:chOff x="4823459" y="830580"/>
          <a:chExt cx="1738413" cy="868680"/>
        </a:xfrm>
      </xdr:grpSpPr>
      <xdr:grpSp>
        <xdr:nvGrpSpPr>
          <xdr:cNvPr id="27" name="Group 26">
            <a:extLst>
              <a:ext uri="{FF2B5EF4-FFF2-40B4-BE49-F238E27FC236}">
                <a16:creationId xmlns:a16="http://schemas.microsoft.com/office/drawing/2014/main" id="{00000000-0008-0000-0200-00001B000000}"/>
              </a:ext>
            </a:extLst>
          </xdr:cNvPr>
          <xdr:cNvGrpSpPr/>
        </xdr:nvGrpSpPr>
        <xdr:grpSpPr>
          <a:xfrm>
            <a:off x="4823459" y="830580"/>
            <a:ext cx="1738413" cy="868680"/>
            <a:chOff x="3067031" y="955571"/>
            <a:chExt cx="1583792" cy="652590"/>
          </a:xfrm>
        </xdr:grpSpPr>
        <xdr:sp macro=""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3067031" y="955571"/>
              <a:ext cx="1546216" cy="65259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29" name="Rectangle: Top Corners Rounded 28">
              <a:extLst>
                <a:ext uri="{FF2B5EF4-FFF2-40B4-BE49-F238E27FC236}">
                  <a16:creationId xmlns:a16="http://schemas.microsoft.com/office/drawing/2014/main" id="{00000000-0008-0000-0200-00001D000000}"/>
                </a:ext>
              </a:extLst>
            </xdr:cNvPr>
            <xdr:cNvSpPr/>
          </xdr:nvSpPr>
          <xdr:spPr>
            <a:xfrm>
              <a:off x="3067031" y="955571"/>
              <a:ext cx="1548121" cy="258170"/>
            </a:xfrm>
            <a:prstGeom prst="round2SameRect">
              <a:avLst>
                <a:gd name="adj1" fmla="val 45588"/>
                <a:gd name="adj2" fmla="val 0"/>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3068935" y="963191"/>
              <a:ext cx="1581888" cy="24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000" b="0" baseline="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rPr>
                <a:t> PERLU ORDER</a:t>
              </a:r>
              <a:endParaRPr lang="en-ID" sz="1000" b="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grpSp>
      <xdr:sp macro="" textlink="Dapur!$A$17">
        <xdr:nvSpPr>
          <xdr:cNvPr id="39" name="TextBox 38">
            <a:extLst>
              <a:ext uri="{FF2B5EF4-FFF2-40B4-BE49-F238E27FC236}">
                <a16:creationId xmlns:a16="http://schemas.microsoft.com/office/drawing/2014/main" id="{00000000-0008-0000-0200-000027000000}"/>
              </a:ext>
            </a:extLst>
          </xdr:cNvPr>
          <xdr:cNvSpPr txBox="1"/>
        </xdr:nvSpPr>
        <xdr:spPr>
          <a:xfrm>
            <a:off x="5341620" y="1211580"/>
            <a:ext cx="651573" cy="383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F1719E-1E9E-4CBE-B104-389E4C20C998}" type="TxLink">
              <a:rPr lang="en-US" sz="2400" b="0" i="0" u="none" strike="noStrike">
                <a:solidFill>
                  <a:srgbClr val="000000"/>
                </a:solidFill>
                <a:latin typeface="Arial Rounded MT Bold" panose="020F0704030504030204" pitchFamily="34" charset="0"/>
                <a:ea typeface="Calibri"/>
                <a:cs typeface="Calibri"/>
              </a:rPr>
              <a:pPr algn="ctr"/>
              <a:t>9</a:t>
            </a:fld>
            <a:endParaRPr lang="en-ID" sz="2400" b="1">
              <a:latin typeface="Arial Rounded MT Bold" panose="020F0704030504030204" pitchFamily="34" charset="0"/>
            </a:endParaRPr>
          </a:p>
        </xdr:txBody>
      </xdr:sp>
    </xdr:grpSp>
    <xdr:clientData/>
  </xdr:twoCellAnchor>
  <xdr:twoCellAnchor editAs="absolute">
    <xdr:from>
      <xdr:col>9</xdr:col>
      <xdr:colOff>673985</xdr:colOff>
      <xdr:row>4</xdr:row>
      <xdr:rowOff>121920</xdr:rowOff>
    </xdr:from>
    <xdr:to>
      <xdr:col>11</xdr:col>
      <xdr:colOff>255245</xdr:colOff>
      <xdr:row>9</xdr:row>
      <xdr:rowOff>41040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8537825" y="853440"/>
          <a:ext cx="1692000" cy="864000"/>
          <a:chOff x="7399020" y="838200"/>
          <a:chExt cx="1730874" cy="868680"/>
        </a:xfrm>
      </xdr:grpSpPr>
      <xdr:grpSp>
        <xdr:nvGrpSpPr>
          <xdr:cNvPr id="35" name="Group 34">
            <a:extLst>
              <a:ext uri="{FF2B5EF4-FFF2-40B4-BE49-F238E27FC236}">
                <a16:creationId xmlns:a16="http://schemas.microsoft.com/office/drawing/2014/main" id="{00000000-0008-0000-0200-000023000000}"/>
              </a:ext>
            </a:extLst>
          </xdr:cNvPr>
          <xdr:cNvGrpSpPr/>
        </xdr:nvGrpSpPr>
        <xdr:grpSpPr>
          <a:xfrm>
            <a:off x="7399020" y="838200"/>
            <a:ext cx="1730874" cy="868680"/>
            <a:chOff x="3067031" y="955571"/>
            <a:chExt cx="1576923" cy="652590"/>
          </a:xfrm>
        </xdr:grpSpPr>
        <xdr:sp macro="" textlink="">
          <xdr:nvSpPr>
            <xdr:cNvPr id="36" name="Rectangle: Rounded Corners 35">
              <a:extLst>
                <a:ext uri="{FF2B5EF4-FFF2-40B4-BE49-F238E27FC236}">
                  <a16:creationId xmlns:a16="http://schemas.microsoft.com/office/drawing/2014/main" id="{00000000-0008-0000-0200-000024000000}"/>
                </a:ext>
              </a:extLst>
            </xdr:cNvPr>
            <xdr:cNvSpPr/>
          </xdr:nvSpPr>
          <xdr:spPr>
            <a:xfrm>
              <a:off x="3067031" y="955571"/>
              <a:ext cx="1546215" cy="65259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7" name="Rectangle: Top Corners Rounded 36">
              <a:extLst>
                <a:ext uri="{FF2B5EF4-FFF2-40B4-BE49-F238E27FC236}">
                  <a16:creationId xmlns:a16="http://schemas.microsoft.com/office/drawing/2014/main" id="{00000000-0008-0000-0200-000025000000}"/>
                </a:ext>
              </a:extLst>
            </xdr:cNvPr>
            <xdr:cNvSpPr/>
          </xdr:nvSpPr>
          <xdr:spPr>
            <a:xfrm>
              <a:off x="3067031" y="955571"/>
              <a:ext cx="1548121" cy="258170"/>
            </a:xfrm>
            <a:prstGeom prst="round2SameRect">
              <a:avLst>
                <a:gd name="adj1" fmla="val 45588"/>
                <a:gd name="adj2" fmla="val 0"/>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3068935" y="963191"/>
              <a:ext cx="1575019" cy="24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000" b="0" baseline="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rPr>
                <a:t>TOTAL DATA MINIMUM</a:t>
              </a:r>
              <a:endParaRPr lang="en-ID" sz="1000" b="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grpSp>
      <xdr:sp macro="" textlink="Dapur!$B$17">
        <xdr:nvSpPr>
          <xdr:cNvPr id="40" name="TextBox 39">
            <a:extLst>
              <a:ext uri="{FF2B5EF4-FFF2-40B4-BE49-F238E27FC236}">
                <a16:creationId xmlns:a16="http://schemas.microsoft.com/office/drawing/2014/main" id="{00000000-0008-0000-0200-000028000000}"/>
              </a:ext>
            </a:extLst>
          </xdr:cNvPr>
          <xdr:cNvSpPr txBox="1"/>
        </xdr:nvSpPr>
        <xdr:spPr>
          <a:xfrm>
            <a:off x="7879080" y="1242060"/>
            <a:ext cx="769620" cy="383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FFFC670-E8E6-4970-A08B-E1C927BA0275}" type="TxLink">
              <a:rPr lang="en-US" sz="2400" b="0" i="0" u="none" strike="noStrike">
                <a:solidFill>
                  <a:srgbClr val="000000"/>
                </a:solidFill>
                <a:latin typeface="Arial Rounded MT Bold" panose="020F0704030504030204" pitchFamily="34" charset="0"/>
                <a:ea typeface="Calibri"/>
                <a:cs typeface="Calibri"/>
              </a:rPr>
              <a:pPr algn="ctr"/>
              <a:t>105</a:t>
            </a:fld>
            <a:endParaRPr lang="en-ID" sz="2400" b="1">
              <a:latin typeface="Arial Rounded MT Bold" panose="020F0704030504030204" pitchFamily="34" charset="0"/>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259080</xdr:colOff>
      <xdr:row>0</xdr:row>
      <xdr:rowOff>190500</xdr:rowOff>
    </xdr:from>
    <xdr:to>
      <xdr:col>4</xdr:col>
      <xdr:colOff>160680</xdr:colOff>
      <xdr:row>46</xdr:row>
      <xdr:rowOff>112980</xdr:rowOff>
    </xdr:to>
    <xdr:sp macro="" textlink="">
      <xdr:nvSpPr>
        <xdr:cNvPr id="27" name="Rectangle: Rounded Corners 26">
          <a:extLst>
            <a:ext uri="{FF2B5EF4-FFF2-40B4-BE49-F238E27FC236}">
              <a16:creationId xmlns:a16="http://schemas.microsoft.com/office/drawing/2014/main" id="{00000000-0008-0000-0300-00001B000000}"/>
            </a:ext>
          </a:extLst>
        </xdr:cNvPr>
        <xdr:cNvSpPr/>
      </xdr:nvSpPr>
      <xdr:spPr>
        <a:xfrm>
          <a:off x="259080" y="190500"/>
          <a:ext cx="2340000" cy="9036000"/>
        </a:xfrm>
        <a:prstGeom prst="roundRect">
          <a:avLst>
            <a:gd name="adj" fmla="val 5593"/>
          </a:avLst>
        </a:prstGeom>
        <a:solidFill>
          <a:schemeClr val="accent3">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editAs="absolute">
    <xdr:from>
      <xdr:col>4</xdr:col>
      <xdr:colOff>490589</xdr:colOff>
      <xdr:row>0</xdr:row>
      <xdr:rowOff>182880</xdr:rowOff>
    </xdr:from>
    <xdr:to>
      <xdr:col>15</xdr:col>
      <xdr:colOff>355349</xdr:colOff>
      <xdr:row>3</xdr:row>
      <xdr:rowOff>114300</xdr:rowOff>
    </xdr:to>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2928989" y="182880"/>
          <a:ext cx="10548000" cy="52578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ID" sz="1100">
            <a:solidFill>
              <a:schemeClr val="tx1"/>
            </a:solidFill>
            <a:latin typeface="Arial Rounded MT Bold" panose="020F0704030504030204" pitchFamily="34" charset="0"/>
          </a:endParaRPr>
        </a:p>
      </xdr:txBody>
    </xdr:sp>
    <xdr:clientData/>
  </xdr:twoCellAnchor>
  <xdr:twoCellAnchor editAs="absolute">
    <xdr:from>
      <xdr:col>13</xdr:col>
      <xdr:colOff>604713</xdr:colOff>
      <xdr:row>1</xdr:row>
      <xdr:rowOff>44346</xdr:rowOff>
    </xdr:from>
    <xdr:to>
      <xdr:col>14</xdr:col>
      <xdr:colOff>269424</xdr:colOff>
      <xdr:row>3</xdr:row>
      <xdr:rowOff>47706</xdr:rowOff>
    </xdr:to>
    <xdr:sp macro="" textlink="">
      <xdr:nvSpPr>
        <xdr:cNvPr id="21" name="Rectangle: Rounded Corners 20">
          <a:extLst>
            <a:ext uri="{FF2B5EF4-FFF2-40B4-BE49-F238E27FC236}">
              <a16:creationId xmlns:a16="http://schemas.microsoft.com/office/drawing/2014/main" id="{00000000-0008-0000-0300-000015000000}"/>
            </a:ext>
          </a:extLst>
        </xdr:cNvPr>
        <xdr:cNvSpPr/>
      </xdr:nvSpPr>
      <xdr:spPr>
        <a:xfrm>
          <a:off x="11600702" y="242466"/>
          <a:ext cx="708651" cy="399600"/>
        </a:xfrm>
        <a:prstGeom prst="roundRect">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editAs="absolute">
    <xdr:from>
      <xdr:col>9</xdr:col>
      <xdr:colOff>822937</xdr:colOff>
      <xdr:row>1</xdr:row>
      <xdr:rowOff>79739</xdr:rowOff>
    </xdr:from>
    <xdr:to>
      <xdr:col>10</xdr:col>
      <xdr:colOff>491568</xdr:colOff>
      <xdr:row>3</xdr:row>
      <xdr:rowOff>18779</xdr:rowOff>
    </xdr:to>
    <xdr:sp macro="" textlink="">
      <xdr:nvSpPr>
        <xdr:cNvPr id="22" name="TextBox 21">
          <a:hlinkClick xmlns:r="http://schemas.openxmlformats.org/officeDocument/2006/relationships" r:id="rId1"/>
          <a:extLst>
            <a:ext uri="{FF2B5EF4-FFF2-40B4-BE49-F238E27FC236}">
              <a16:creationId xmlns:a16="http://schemas.microsoft.com/office/drawing/2014/main" id="{00000000-0008-0000-0300-000016000000}"/>
            </a:ext>
          </a:extLst>
        </xdr:cNvPr>
        <xdr:cNvSpPr txBox="1"/>
      </xdr:nvSpPr>
      <xdr:spPr>
        <a:xfrm>
          <a:off x="7856197" y="277859"/>
          <a:ext cx="781151"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solidFill>
                <a:schemeClr val="tx1"/>
              </a:solidFill>
              <a:latin typeface="Arial Rounded MT Bold" panose="020F0704030504030204" pitchFamily="34" charset="0"/>
            </a:rPr>
            <a:t>HOME</a:t>
          </a:r>
          <a:endParaRPr lang="en-ID" sz="1050">
            <a:solidFill>
              <a:schemeClr val="tx1"/>
            </a:solidFill>
            <a:latin typeface="Arial Rounded MT Bold" panose="020F0704030504030204" pitchFamily="34" charset="0"/>
          </a:endParaRPr>
        </a:p>
      </xdr:txBody>
    </xdr:sp>
    <xdr:clientData/>
  </xdr:twoCellAnchor>
  <xdr:twoCellAnchor editAs="absolute">
    <xdr:from>
      <xdr:col>10</xdr:col>
      <xdr:colOff>617120</xdr:colOff>
      <xdr:row>1</xdr:row>
      <xdr:rowOff>78105</xdr:rowOff>
    </xdr:from>
    <xdr:to>
      <xdr:col>11</xdr:col>
      <xdr:colOff>971320</xdr:colOff>
      <xdr:row>3</xdr:row>
      <xdr:rowOff>18106</xdr:rowOff>
    </xdr:to>
    <xdr:sp macro="" textlink="">
      <xdr:nvSpPr>
        <xdr:cNvPr id="23" name="TextBox 22">
          <a:hlinkClick xmlns:r="http://schemas.openxmlformats.org/officeDocument/2006/relationships" r:id="rId2"/>
          <a:extLst>
            <a:ext uri="{FF2B5EF4-FFF2-40B4-BE49-F238E27FC236}">
              <a16:creationId xmlns:a16="http://schemas.microsoft.com/office/drawing/2014/main" id="{00000000-0008-0000-0300-000017000000}"/>
            </a:ext>
          </a:extLst>
        </xdr:cNvPr>
        <xdr:cNvSpPr txBox="1"/>
      </xdr:nvSpPr>
      <xdr:spPr>
        <a:xfrm>
          <a:off x="8762900" y="276225"/>
          <a:ext cx="1238120" cy="3362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TRANSAKSI</a:t>
          </a:r>
          <a:endParaRPr lang="en-ID" sz="1600">
            <a:latin typeface="Arial Rounded MT Bold" panose="020F0704030504030204" pitchFamily="34" charset="0"/>
          </a:endParaRPr>
        </a:p>
      </xdr:txBody>
    </xdr:sp>
    <xdr:clientData/>
  </xdr:twoCellAnchor>
  <xdr:twoCellAnchor editAs="absolute">
    <xdr:from>
      <xdr:col>11</xdr:col>
      <xdr:colOff>1116117</xdr:colOff>
      <xdr:row>1</xdr:row>
      <xdr:rowOff>78105</xdr:rowOff>
    </xdr:from>
    <xdr:to>
      <xdr:col>13</xdr:col>
      <xdr:colOff>470032</xdr:colOff>
      <xdr:row>3</xdr:row>
      <xdr:rowOff>18106</xdr:rowOff>
    </xdr:to>
    <xdr:sp macro="" textlink="">
      <xdr:nvSpPr>
        <xdr:cNvPr id="24" name="TextBox 23">
          <a:hlinkClick xmlns:r="http://schemas.openxmlformats.org/officeDocument/2006/relationships" r:id="rId3"/>
          <a:extLst>
            <a:ext uri="{FF2B5EF4-FFF2-40B4-BE49-F238E27FC236}">
              <a16:creationId xmlns:a16="http://schemas.microsoft.com/office/drawing/2014/main" id="{00000000-0008-0000-0300-000018000000}"/>
            </a:ext>
          </a:extLst>
        </xdr:cNvPr>
        <xdr:cNvSpPr txBox="1"/>
      </xdr:nvSpPr>
      <xdr:spPr>
        <a:xfrm>
          <a:off x="10145817" y="276225"/>
          <a:ext cx="1319875" cy="3362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STOK</a:t>
          </a:r>
          <a:r>
            <a:rPr lang="en-ID" sz="1400" baseline="0">
              <a:latin typeface="Arial Rounded MT Bold" panose="020F0704030504030204" pitchFamily="34" charset="0"/>
            </a:rPr>
            <a:t> AKHIR</a:t>
          </a:r>
          <a:endParaRPr lang="en-ID" sz="1400">
            <a:latin typeface="Arial Rounded MT Bold" panose="020F0704030504030204" pitchFamily="34" charset="0"/>
          </a:endParaRPr>
        </a:p>
      </xdr:txBody>
    </xdr:sp>
    <xdr:clientData/>
  </xdr:twoCellAnchor>
  <xdr:twoCellAnchor editAs="absolute">
    <xdr:from>
      <xdr:col>13</xdr:col>
      <xdr:colOff>607192</xdr:colOff>
      <xdr:row>1</xdr:row>
      <xdr:rowOff>78105</xdr:rowOff>
    </xdr:from>
    <xdr:to>
      <xdr:col>14</xdr:col>
      <xdr:colOff>252278</xdr:colOff>
      <xdr:row>3</xdr:row>
      <xdr:rowOff>17145</xdr:rowOff>
    </xdr:to>
    <xdr:sp macro="" textlink="">
      <xdr:nvSpPr>
        <xdr:cNvPr id="25" name="TextBox 24">
          <a:hlinkClick xmlns:r="http://schemas.openxmlformats.org/officeDocument/2006/relationships" r:id="rId4"/>
          <a:extLst>
            <a:ext uri="{FF2B5EF4-FFF2-40B4-BE49-F238E27FC236}">
              <a16:creationId xmlns:a16="http://schemas.microsoft.com/office/drawing/2014/main" id="{00000000-0008-0000-0300-000019000000}"/>
            </a:ext>
          </a:extLst>
        </xdr:cNvPr>
        <xdr:cNvSpPr txBox="1"/>
      </xdr:nvSpPr>
      <xdr:spPr>
        <a:xfrm>
          <a:off x="11602852" y="276225"/>
          <a:ext cx="689026"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solidFill>
                <a:schemeClr val="bg1"/>
              </a:solidFill>
              <a:latin typeface="Arial Rounded MT Bold" panose="020F0704030504030204" pitchFamily="34" charset="0"/>
            </a:rPr>
            <a:t>DATA</a:t>
          </a:r>
          <a:endParaRPr lang="en-ID" sz="1600">
            <a:solidFill>
              <a:schemeClr val="bg1"/>
            </a:solidFill>
            <a:latin typeface="Arial Rounded MT Bold" panose="020F0704030504030204" pitchFamily="34" charset="0"/>
          </a:endParaRPr>
        </a:p>
      </xdr:txBody>
    </xdr:sp>
    <xdr:clientData/>
  </xdr:twoCellAnchor>
  <xdr:twoCellAnchor editAs="absolute">
    <xdr:from>
      <xdr:col>14</xdr:col>
      <xdr:colOff>289057</xdr:colOff>
      <xdr:row>1</xdr:row>
      <xdr:rowOff>76200</xdr:rowOff>
    </xdr:from>
    <xdr:to>
      <xdr:col>15</xdr:col>
      <xdr:colOff>376910</xdr:colOff>
      <xdr:row>3</xdr:row>
      <xdr:rowOff>16201</xdr:rowOff>
    </xdr:to>
    <xdr:sp macro="" textlink="">
      <xdr:nvSpPr>
        <xdr:cNvPr id="26" name="TextBox 25">
          <a:hlinkClick xmlns:r="http://schemas.openxmlformats.org/officeDocument/2006/relationships" r:id="rId5"/>
          <a:extLst>
            <a:ext uri="{FF2B5EF4-FFF2-40B4-BE49-F238E27FC236}">
              <a16:creationId xmlns:a16="http://schemas.microsoft.com/office/drawing/2014/main" id="{00000000-0008-0000-0300-00001A000000}"/>
            </a:ext>
          </a:extLst>
        </xdr:cNvPr>
        <xdr:cNvSpPr txBox="1"/>
      </xdr:nvSpPr>
      <xdr:spPr>
        <a:xfrm>
          <a:off x="12328986" y="274320"/>
          <a:ext cx="1169894" cy="3362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SEARCH</a:t>
          </a:r>
        </a:p>
      </xdr:txBody>
    </xdr:sp>
    <xdr:clientData/>
  </xdr:twoCellAnchor>
  <xdr:twoCellAnchor editAs="absolute">
    <xdr:from>
      <xdr:col>5</xdr:col>
      <xdr:colOff>292468</xdr:colOff>
      <xdr:row>1</xdr:row>
      <xdr:rowOff>76200</xdr:rowOff>
    </xdr:from>
    <xdr:to>
      <xdr:col>7</xdr:col>
      <xdr:colOff>363280</xdr:colOff>
      <xdr:row>3</xdr:row>
      <xdr:rowOff>30480</xdr:rowOff>
    </xdr:to>
    <xdr:sp macro="" textlink="">
      <xdr:nvSpPr>
        <xdr:cNvPr id="28" name="TextBox 27">
          <a:extLst>
            <a:ext uri="{FF2B5EF4-FFF2-40B4-BE49-F238E27FC236}">
              <a16:creationId xmlns:a16="http://schemas.microsoft.com/office/drawing/2014/main" id="{00000000-0008-0000-0300-00001C000000}"/>
            </a:ext>
          </a:extLst>
        </xdr:cNvPr>
        <xdr:cNvSpPr txBox="1"/>
      </xdr:nvSpPr>
      <xdr:spPr>
        <a:xfrm>
          <a:off x="3416668" y="274320"/>
          <a:ext cx="2379672"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D" sz="1600">
              <a:latin typeface="Arial Rounded MT Bold" panose="020F0704030504030204" pitchFamily="34" charset="0"/>
            </a:rPr>
            <a:t>MASTER</a:t>
          </a:r>
          <a:r>
            <a:rPr lang="en-ID" sz="1600" baseline="0">
              <a:latin typeface="Arial Rounded MT Bold" panose="020F0704030504030204" pitchFamily="34" charset="0"/>
            </a:rPr>
            <a:t> BARANG</a:t>
          </a:r>
          <a:endParaRPr lang="en-ID" sz="1600">
            <a:latin typeface="Arial Rounded MT Bold" panose="020F0704030504030204" pitchFamily="34" charset="0"/>
          </a:endParaRPr>
        </a:p>
      </xdr:txBody>
    </xdr:sp>
    <xdr:clientData/>
  </xdr:twoCellAnchor>
  <xdr:twoCellAnchor editAs="absolute">
    <xdr:from>
      <xdr:col>4</xdr:col>
      <xdr:colOff>565492</xdr:colOff>
      <xdr:row>1</xdr:row>
      <xdr:rowOff>28080</xdr:rowOff>
    </xdr:from>
    <xdr:to>
      <xdr:col>5</xdr:col>
      <xdr:colOff>292468</xdr:colOff>
      <xdr:row>3</xdr:row>
      <xdr:rowOff>45720</xdr:rowOff>
    </xdr:to>
    <xdr:pic>
      <xdr:nvPicPr>
        <xdr:cNvPr id="7" name="Graphic 6" descr="Database with solid fill">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003892" y="226200"/>
          <a:ext cx="412776" cy="413880"/>
        </a:xfrm>
        <a:prstGeom prst="rect">
          <a:avLst/>
        </a:prstGeom>
      </xdr:spPr>
    </xdr:pic>
    <xdr:clientData/>
  </xdr:twoCellAnchor>
  <xdr:twoCellAnchor editAs="absolute">
    <xdr:from>
      <xdr:col>11</xdr:col>
      <xdr:colOff>259977</xdr:colOff>
      <xdr:row>5</xdr:row>
      <xdr:rowOff>186017</xdr:rowOff>
    </xdr:from>
    <xdr:to>
      <xdr:col>11</xdr:col>
      <xdr:colOff>1102950</xdr:colOff>
      <xdr:row>7</xdr:row>
      <xdr:rowOff>120501</xdr:rowOff>
    </xdr:to>
    <xdr:sp macro="[0]!InputDataBarang" textlink="">
      <xdr:nvSpPr>
        <xdr:cNvPr id="16" name="Rectangle: Rounded Corners 15">
          <a:extLst>
            <a:ext uri="{FF2B5EF4-FFF2-40B4-BE49-F238E27FC236}">
              <a16:creationId xmlns:a16="http://schemas.microsoft.com/office/drawing/2014/main" id="{00000000-0008-0000-0300-000010000000}"/>
            </a:ext>
          </a:extLst>
        </xdr:cNvPr>
        <xdr:cNvSpPr/>
      </xdr:nvSpPr>
      <xdr:spPr>
        <a:xfrm>
          <a:off x="9009530" y="1172135"/>
          <a:ext cx="842973" cy="328931"/>
        </a:xfrm>
        <a:prstGeom prst="roundRect">
          <a:avLst/>
        </a:prstGeom>
        <a:solidFill>
          <a:srgbClr val="3E3E3E"/>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D" sz="1100" b="0" i="0" u="none" strike="noStrike" kern="0" cap="none" spc="0" normalizeH="0" baseline="0" noProof="0">
              <a:ln>
                <a:noFill/>
              </a:ln>
              <a:solidFill>
                <a:sysClr val="window" lastClr="FFFFFF"/>
              </a:solidFill>
              <a:effectLst/>
              <a:uLnTx/>
              <a:uFillTx/>
              <a:latin typeface="Arial Rounded MT Bold" panose="020F0704030504030204" pitchFamily="34" charset="0"/>
              <a:ea typeface="+mn-ea"/>
              <a:cs typeface="+mn-cs"/>
            </a:rPr>
            <a:t>INPUT</a:t>
          </a:r>
        </a:p>
      </xdr:txBody>
    </xdr:sp>
    <xdr:clientData/>
  </xdr:twoCellAnchor>
  <xdr:twoCellAnchor editAs="absolute">
    <xdr:from>
      <xdr:col>0</xdr:col>
      <xdr:colOff>518160</xdr:colOff>
      <xdr:row>2</xdr:row>
      <xdr:rowOff>7621</xdr:rowOff>
    </xdr:from>
    <xdr:to>
      <xdr:col>3</xdr:col>
      <xdr:colOff>518160</xdr:colOff>
      <xdr:row>11</xdr:row>
      <xdr:rowOff>190500</xdr:rowOff>
    </xdr:to>
    <mc:AlternateContent xmlns:mc="http://schemas.openxmlformats.org/markup-compatibility/2006" xmlns:sle15="http://schemas.microsoft.com/office/drawing/2012/slicer">
      <mc:Choice Requires="sle15">
        <xdr:graphicFrame macro="">
          <xdr:nvGraphicFramePr>
            <xdr:cNvPr id="2" name="Kategori">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ategori"/>
            </a:graphicData>
          </a:graphic>
        </xdr:graphicFrame>
      </mc:Choice>
      <mc:Fallback xmlns="">
        <xdr:sp macro="" textlink="">
          <xdr:nvSpPr>
            <xdr:cNvPr id="0" name=""/>
            <xdr:cNvSpPr>
              <a:spLocks noTextEdit="1"/>
            </xdr:cNvSpPr>
          </xdr:nvSpPr>
          <xdr:spPr>
            <a:xfrm>
              <a:off x="518160" y="403861"/>
              <a:ext cx="1828800" cy="1965959"/>
            </a:xfrm>
            <a:prstGeom prst="rect">
              <a:avLst/>
            </a:prstGeom>
            <a:solidFill>
              <a:prstClr val="white"/>
            </a:solidFill>
            <a:ln w="1">
              <a:solidFill>
                <a:prstClr val="green"/>
              </a:solidFill>
            </a:ln>
          </xdr:spPr>
          <xdr:txBody>
            <a:bodyPr vertOverflow="clip" horzOverflow="clip"/>
            <a:lstStyle/>
            <a:p>
              <a:r>
                <a:rPr lang="id-ID" sz="1100"/>
                <a:t>Bentuk ini mewakili pemotong tabel. Pemotong tabel tidak didukung di versi Excel ini.
Jika bentuk ini diubah di Excel versi sebelumnya, atau jika buku kerja disimpan di Excel 2007 atau yang lebih lama, pemotong tidak dapat digunakan.</a:t>
              </a:r>
            </a:p>
          </xdr:txBody>
        </xdr:sp>
      </mc:Fallback>
    </mc:AlternateContent>
    <xdr:clientData/>
  </xdr:twoCellAnchor>
  <xdr:twoCellAnchor editAs="absolute">
    <xdr:from>
      <xdr:col>0</xdr:col>
      <xdr:colOff>518160</xdr:colOff>
      <xdr:row>11</xdr:row>
      <xdr:rowOff>190500</xdr:rowOff>
    </xdr:from>
    <xdr:to>
      <xdr:col>3</xdr:col>
      <xdr:colOff>518160</xdr:colOff>
      <xdr:row>24</xdr:row>
      <xdr:rowOff>81915</xdr:rowOff>
    </xdr:to>
    <mc:AlternateContent xmlns:mc="http://schemas.openxmlformats.org/markup-compatibility/2006" xmlns:sle15="http://schemas.microsoft.com/office/drawing/2012/slicer">
      <mc:Choice Requires="sle15">
        <xdr:graphicFrame macro="">
          <xdr:nvGraphicFramePr>
            <xdr:cNvPr id="3" name="Satuan">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atuan"/>
            </a:graphicData>
          </a:graphic>
        </xdr:graphicFrame>
      </mc:Choice>
      <mc:Fallback xmlns="">
        <xdr:sp macro="" textlink="">
          <xdr:nvSpPr>
            <xdr:cNvPr id="0" name=""/>
            <xdr:cNvSpPr>
              <a:spLocks noTextEdit="1"/>
            </xdr:cNvSpPr>
          </xdr:nvSpPr>
          <xdr:spPr>
            <a:xfrm>
              <a:off x="518160" y="2369820"/>
              <a:ext cx="1828800" cy="2466975"/>
            </a:xfrm>
            <a:prstGeom prst="rect">
              <a:avLst/>
            </a:prstGeom>
            <a:solidFill>
              <a:prstClr val="white"/>
            </a:solidFill>
            <a:ln w="1">
              <a:solidFill>
                <a:prstClr val="green"/>
              </a:solidFill>
            </a:ln>
          </xdr:spPr>
          <xdr:txBody>
            <a:bodyPr vertOverflow="clip" horzOverflow="clip"/>
            <a:lstStyle/>
            <a:p>
              <a:r>
                <a:rPr lang="id-ID" sz="1100"/>
                <a:t>Bentuk ini mewakili pemotong tabel. Pemotong tabel tidak didukung di versi Excel ini.
Jika bentuk ini diubah di Excel versi sebelumnya, atau jika buku kerja disimpan di Excel 2007 atau yang lebih lama, pemotong tidak dapat digunakan.</a:t>
              </a:r>
            </a:p>
          </xdr:txBody>
        </xdr:sp>
      </mc:Fallback>
    </mc:AlternateContent>
    <xdr:clientData/>
  </xdr:twoCellAnchor>
  <xdr:twoCellAnchor editAs="absolute">
    <xdr:from>
      <xdr:col>5</xdr:col>
      <xdr:colOff>121928</xdr:colOff>
      <xdr:row>4</xdr:row>
      <xdr:rowOff>129540</xdr:rowOff>
    </xdr:from>
    <xdr:to>
      <xdr:col>6</xdr:col>
      <xdr:colOff>601665</xdr:colOff>
      <xdr:row>8</xdr:row>
      <xdr:rowOff>182880</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3246128" y="922020"/>
          <a:ext cx="1546537" cy="845820"/>
          <a:chOff x="7399023" y="838200"/>
          <a:chExt cx="1699261" cy="868680"/>
        </a:xfrm>
      </xdr:grpSpPr>
      <xdr:grpSp>
        <xdr:nvGrpSpPr>
          <xdr:cNvPr id="19" name="Group 18">
            <a:extLst>
              <a:ext uri="{FF2B5EF4-FFF2-40B4-BE49-F238E27FC236}">
                <a16:creationId xmlns:a16="http://schemas.microsoft.com/office/drawing/2014/main" id="{00000000-0008-0000-0300-000013000000}"/>
              </a:ext>
            </a:extLst>
          </xdr:cNvPr>
          <xdr:cNvGrpSpPr/>
        </xdr:nvGrpSpPr>
        <xdr:grpSpPr>
          <a:xfrm>
            <a:off x="7399023" y="838200"/>
            <a:ext cx="1699261" cy="868680"/>
            <a:chOff x="3067031" y="955571"/>
            <a:chExt cx="1548121" cy="652590"/>
          </a:xfrm>
        </xdr:grpSpPr>
        <xdr:sp macro="" textlink="">
          <xdr:nvSpPr>
            <xdr:cNvPr id="30" name="Rectangle: Rounded Corners 29">
              <a:extLst>
                <a:ext uri="{FF2B5EF4-FFF2-40B4-BE49-F238E27FC236}">
                  <a16:creationId xmlns:a16="http://schemas.microsoft.com/office/drawing/2014/main" id="{00000000-0008-0000-0300-00001E000000}"/>
                </a:ext>
              </a:extLst>
            </xdr:cNvPr>
            <xdr:cNvSpPr/>
          </xdr:nvSpPr>
          <xdr:spPr>
            <a:xfrm>
              <a:off x="3067031" y="955571"/>
              <a:ext cx="1546216" cy="65259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1" name="Rectangle: Top Corners Rounded 30">
              <a:extLst>
                <a:ext uri="{FF2B5EF4-FFF2-40B4-BE49-F238E27FC236}">
                  <a16:creationId xmlns:a16="http://schemas.microsoft.com/office/drawing/2014/main" id="{00000000-0008-0000-0300-00001F000000}"/>
                </a:ext>
              </a:extLst>
            </xdr:cNvPr>
            <xdr:cNvSpPr/>
          </xdr:nvSpPr>
          <xdr:spPr>
            <a:xfrm>
              <a:off x="3067031" y="955571"/>
              <a:ext cx="1548121" cy="258170"/>
            </a:xfrm>
            <a:prstGeom prst="round2SameRect">
              <a:avLst>
                <a:gd name="adj1" fmla="val 45588"/>
                <a:gd name="adj2" fmla="val 0"/>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2" name="TextBox 31">
              <a:extLst>
                <a:ext uri="{FF2B5EF4-FFF2-40B4-BE49-F238E27FC236}">
                  <a16:creationId xmlns:a16="http://schemas.microsoft.com/office/drawing/2014/main" id="{00000000-0008-0000-0300-000020000000}"/>
                </a:ext>
              </a:extLst>
            </xdr:cNvPr>
            <xdr:cNvSpPr txBox="1"/>
          </xdr:nvSpPr>
          <xdr:spPr>
            <a:xfrm>
              <a:off x="3090537" y="963191"/>
              <a:ext cx="1503008" cy="24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900" b="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rPr>
                <a:t>QTY</a:t>
              </a:r>
              <a:r>
                <a:rPr lang="en-ID" sz="900" b="0" baseline="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rPr>
                <a:t> STOK AWAL TOTAL</a:t>
              </a:r>
              <a:endParaRPr lang="en-ID" sz="900" b="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grpSp>
      <xdr:sp macro="" textlink="Dapur!$A$20">
        <xdr:nvSpPr>
          <xdr:cNvPr id="29" name="TextBox 28">
            <a:extLst>
              <a:ext uri="{FF2B5EF4-FFF2-40B4-BE49-F238E27FC236}">
                <a16:creationId xmlns:a16="http://schemas.microsoft.com/office/drawing/2014/main" id="{00000000-0008-0000-0300-00001D000000}"/>
              </a:ext>
            </a:extLst>
          </xdr:cNvPr>
          <xdr:cNvSpPr txBox="1"/>
        </xdr:nvSpPr>
        <xdr:spPr>
          <a:xfrm>
            <a:off x="7615927" y="1242060"/>
            <a:ext cx="1247973" cy="383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46AC61-72A2-4767-9E44-F1363A8406DB}" type="TxLink">
              <a:rPr lang="en-US" sz="2400" b="0" i="0" u="none" strike="noStrike">
                <a:solidFill>
                  <a:srgbClr val="000000"/>
                </a:solidFill>
                <a:latin typeface="Arial Rounded MT Bold" panose="020F0704030504030204" pitchFamily="34" charset="0"/>
                <a:ea typeface="Calibri"/>
                <a:cs typeface="Calibri"/>
              </a:rPr>
              <a:pPr algn="ctr"/>
              <a:t>16754</a:t>
            </a:fld>
            <a:endParaRPr lang="en-ID" sz="2400" b="1">
              <a:latin typeface="Arial Rounded MT Bold" panose="020F0704030504030204" pitchFamily="34" charset="0"/>
            </a:endParaRPr>
          </a:p>
        </xdr:txBody>
      </xdr:sp>
    </xdr:grpSp>
    <xdr:clientData/>
  </xdr:twoCellAnchor>
  <xdr:twoCellAnchor editAs="absolute">
    <xdr:from>
      <xdr:col>6</xdr:col>
      <xdr:colOff>891225</xdr:colOff>
      <xdr:row>4</xdr:row>
      <xdr:rowOff>129540</xdr:rowOff>
    </xdr:from>
    <xdr:to>
      <xdr:col>8</xdr:col>
      <xdr:colOff>442216</xdr:colOff>
      <xdr:row>8</xdr:row>
      <xdr:rowOff>182880</xdr:rowOff>
    </xdr:to>
    <xdr:grpSp>
      <xdr:nvGrpSpPr>
        <xdr:cNvPr id="33" name="Group 32">
          <a:extLst>
            <a:ext uri="{FF2B5EF4-FFF2-40B4-BE49-F238E27FC236}">
              <a16:creationId xmlns:a16="http://schemas.microsoft.com/office/drawing/2014/main" id="{00000000-0008-0000-0300-000021000000}"/>
            </a:ext>
          </a:extLst>
        </xdr:cNvPr>
        <xdr:cNvGrpSpPr/>
      </xdr:nvGrpSpPr>
      <xdr:grpSpPr>
        <a:xfrm>
          <a:off x="5082225" y="922020"/>
          <a:ext cx="1577911" cy="845820"/>
          <a:chOff x="7399020" y="838200"/>
          <a:chExt cx="1699260" cy="868680"/>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7399020" y="838200"/>
            <a:ext cx="1699260" cy="868680"/>
            <a:chOff x="3067031" y="955571"/>
            <a:chExt cx="1548121" cy="652590"/>
          </a:xfrm>
        </xdr:grpSpPr>
        <xdr:sp macro="" textlink="">
          <xdr:nvSpPr>
            <xdr:cNvPr id="36" name="Rectangle: Rounded Corners 35">
              <a:extLst>
                <a:ext uri="{FF2B5EF4-FFF2-40B4-BE49-F238E27FC236}">
                  <a16:creationId xmlns:a16="http://schemas.microsoft.com/office/drawing/2014/main" id="{00000000-0008-0000-0300-000024000000}"/>
                </a:ext>
              </a:extLst>
            </xdr:cNvPr>
            <xdr:cNvSpPr/>
          </xdr:nvSpPr>
          <xdr:spPr>
            <a:xfrm>
              <a:off x="3067031" y="955571"/>
              <a:ext cx="1546216" cy="65259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7" name="Rectangle: Top Corners Rounded 36">
              <a:extLst>
                <a:ext uri="{FF2B5EF4-FFF2-40B4-BE49-F238E27FC236}">
                  <a16:creationId xmlns:a16="http://schemas.microsoft.com/office/drawing/2014/main" id="{00000000-0008-0000-0300-000025000000}"/>
                </a:ext>
              </a:extLst>
            </xdr:cNvPr>
            <xdr:cNvSpPr/>
          </xdr:nvSpPr>
          <xdr:spPr>
            <a:xfrm>
              <a:off x="3067031" y="955571"/>
              <a:ext cx="1548121" cy="258170"/>
            </a:xfrm>
            <a:prstGeom prst="round2SameRect">
              <a:avLst>
                <a:gd name="adj1" fmla="val 45588"/>
                <a:gd name="adj2" fmla="val 0"/>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8" name="TextBox 37">
              <a:extLst>
                <a:ext uri="{FF2B5EF4-FFF2-40B4-BE49-F238E27FC236}">
                  <a16:creationId xmlns:a16="http://schemas.microsoft.com/office/drawing/2014/main" id="{00000000-0008-0000-0300-000026000000}"/>
                </a:ext>
              </a:extLst>
            </xdr:cNvPr>
            <xdr:cNvSpPr txBox="1"/>
          </xdr:nvSpPr>
          <xdr:spPr>
            <a:xfrm>
              <a:off x="3155342" y="963191"/>
              <a:ext cx="1414937" cy="24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900" b="0" baseline="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rPr>
                <a:t>QTY STOK MIN TOTAL</a:t>
              </a:r>
              <a:endParaRPr lang="en-ID" sz="900" b="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grpSp>
      <xdr:sp macro="" textlink="Dapur!$B$20">
        <xdr:nvSpPr>
          <xdr:cNvPr id="35" name="TextBox 34">
            <a:extLst>
              <a:ext uri="{FF2B5EF4-FFF2-40B4-BE49-F238E27FC236}">
                <a16:creationId xmlns:a16="http://schemas.microsoft.com/office/drawing/2014/main" id="{00000000-0008-0000-0300-000023000000}"/>
              </a:ext>
            </a:extLst>
          </xdr:cNvPr>
          <xdr:cNvSpPr txBox="1"/>
        </xdr:nvSpPr>
        <xdr:spPr>
          <a:xfrm>
            <a:off x="7784237" y="1242060"/>
            <a:ext cx="993893" cy="383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C215BA0-A52F-4612-8AF5-D226BFC63336}" type="TxLink">
              <a:rPr lang="en-US" sz="2400" b="0" i="0" u="none" strike="noStrike">
                <a:solidFill>
                  <a:srgbClr val="000000"/>
                </a:solidFill>
                <a:latin typeface="Arial Rounded MT Bold" panose="020F0704030504030204" pitchFamily="34" charset="0"/>
                <a:ea typeface="Calibri"/>
                <a:cs typeface="Calibri"/>
              </a:rPr>
              <a:pPr algn="ctr"/>
              <a:t>2180</a:t>
            </a:fld>
            <a:endParaRPr lang="en-ID" sz="2400" b="1">
              <a:latin typeface="Arial Rounded MT Bold" panose="020F0704030504030204" pitchFamily="34" charset="0"/>
            </a:endParaRPr>
          </a:p>
        </xdr:txBody>
      </xdr:sp>
    </xdr:grpSp>
    <xdr:clientData/>
  </xdr:twoCellAnchor>
  <xdr:twoCellAnchor editAs="absolute">
    <xdr:from>
      <xdr:col>8</xdr:col>
      <xdr:colOff>745488</xdr:colOff>
      <xdr:row>4</xdr:row>
      <xdr:rowOff>129540</xdr:rowOff>
    </xdr:from>
    <xdr:to>
      <xdr:col>10</xdr:col>
      <xdr:colOff>435321</xdr:colOff>
      <xdr:row>8</xdr:row>
      <xdr:rowOff>183060</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6963408" y="922020"/>
          <a:ext cx="1617693" cy="846000"/>
          <a:chOff x="7388743" y="838200"/>
          <a:chExt cx="1753362" cy="868680"/>
        </a:xfrm>
      </xdr:grpSpPr>
      <xdr:grpSp>
        <xdr:nvGrpSpPr>
          <xdr:cNvPr id="40" name="Group 39">
            <a:extLst>
              <a:ext uri="{FF2B5EF4-FFF2-40B4-BE49-F238E27FC236}">
                <a16:creationId xmlns:a16="http://schemas.microsoft.com/office/drawing/2014/main" id="{00000000-0008-0000-0300-000028000000}"/>
              </a:ext>
            </a:extLst>
          </xdr:cNvPr>
          <xdr:cNvGrpSpPr/>
        </xdr:nvGrpSpPr>
        <xdr:grpSpPr>
          <a:xfrm>
            <a:off x="7399020" y="838200"/>
            <a:ext cx="1699260" cy="868680"/>
            <a:chOff x="3067031" y="955571"/>
            <a:chExt cx="1548121" cy="652590"/>
          </a:xfrm>
        </xdr:grpSpPr>
        <xdr:sp macro="" textlink="">
          <xdr:nvSpPr>
            <xdr:cNvPr id="42" name="Rectangle: Rounded Corners 41">
              <a:extLst>
                <a:ext uri="{FF2B5EF4-FFF2-40B4-BE49-F238E27FC236}">
                  <a16:creationId xmlns:a16="http://schemas.microsoft.com/office/drawing/2014/main" id="{00000000-0008-0000-0300-00002A000000}"/>
                </a:ext>
              </a:extLst>
            </xdr:cNvPr>
            <xdr:cNvSpPr/>
          </xdr:nvSpPr>
          <xdr:spPr>
            <a:xfrm>
              <a:off x="3067031" y="955571"/>
              <a:ext cx="1546216" cy="65259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43" name="Rectangle: Top Corners Rounded 42">
              <a:extLst>
                <a:ext uri="{FF2B5EF4-FFF2-40B4-BE49-F238E27FC236}">
                  <a16:creationId xmlns:a16="http://schemas.microsoft.com/office/drawing/2014/main" id="{00000000-0008-0000-0300-00002B000000}"/>
                </a:ext>
              </a:extLst>
            </xdr:cNvPr>
            <xdr:cNvSpPr/>
          </xdr:nvSpPr>
          <xdr:spPr>
            <a:xfrm>
              <a:off x="3067031" y="955571"/>
              <a:ext cx="1548121" cy="258170"/>
            </a:xfrm>
            <a:prstGeom prst="round2SameRect">
              <a:avLst>
                <a:gd name="adj1" fmla="val 45588"/>
                <a:gd name="adj2" fmla="val 0"/>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68935" y="963191"/>
              <a:ext cx="1539019" cy="24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900" b="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rPr>
                <a:t>HARGA</a:t>
              </a:r>
              <a:r>
                <a:rPr lang="en-ID" sz="900" b="0" baseline="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rPr>
                <a:t> RATA RATA ITEM</a:t>
              </a:r>
              <a:endParaRPr lang="en-ID" sz="900" b="0">
                <a:solidFill>
                  <a:schemeClr val="bg1"/>
                </a:solidFill>
                <a:latin typeface="Arial Rounded MT Bold" panose="020F0704030504030204" pitchFamily="34" charset="0"/>
                <a:ea typeface="Arial Unicode MS" panose="020B0604020202020204" pitchFamily="34" charset="-128"/>
                <a:cs typeface="Arial Unicode MS" panose="020B0604020202020204" pitchFamily="34" charset="-128"/>
              </a:endParaRPr>
            </a:p>
          </xdr:txBody>
        </xdr:sp>
      </xdr:grpSp>
      <xdr:sp macro="" textlink="Dapur!$C$20">
        <xdr:nvSpPr>
          <xdr:cNvPr id="41" name="TextBox 40">
            <a:extLst>
              <a:ext uri="{FF2B5EF4-FFF2-40B4-BE49-F238E27FC236}">
                <a16:creationId xmlns:a16="http://schemas.microsoft.com/office/drawing/2014/main" id="{00000000-0008-0000-0300-000029000000}"/>
              </a:ext>
            </a:extLst>
          </xdr:cNvPr>
          <xdr:cNvSpPr txBox="1"/>
        </xdr:nvSpPr>
        <xdr:spPr>
          <a:xfrm>
            <a:off x="7388743" y="1257434"/>
            <a:ext cx="1753362" cy="349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C550767-EE82-4521-B0B3-DF4A68967C45}" type="TxLink">
              <a:rPr lang="en-US" sz="1600" b="0" i="0" u="none" strike="noStrike">
                <a:solidFill>
                  <a:srgbClr val="000000"/>
                </a:solidFill>
                <a:latin typeface="Arial Rounded MT Bold" panose="020F0704030504030204" pitchFamily="34" charset="0"/>
                <a:ea typeface="Calibri"/>
                <a:cs typeface="Calibri"/>
              </a:rPr>
              <a:pPr algn="ctr"/>
              <a:t> Rp100.524,76 </a:t>
            </a:fld>
            <a:endParaRPr lang="en-ID" sz="1600" b="1">
              <a:latin typeface="Arial Rounded MT Bold" panose="020F0704030504030204"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175260</xdr:colOff>
      <xdr:row>1</xdr:row>
      <xdr:rowOff>0</xdr:rowOff>
    </xdr:from>
    <xdr:to>
      <xdr:col>15</xdr:col>
      <xdr:colOff>840120</xdr:colOff>
      <xdr:row>3</xdr:row>
      <xdr:rowOff>160020</xdr:rowOff>
    </xdr:to>
    <xdr:sp macro="" textlink="">
      <xdr:nvSpPr>
        <xdr:cNvPr id="7" name="Rectangle: Rounded Corners 6">
          <a:extLst>
            <a:ext uri="{FF2B5EF4-FFF2-40B4-BE49-F238E27FC236}">
              <a16:creationId xmlns:a16="http://schemas.microsoft.com/office/drawing/2014/main" id="{00000000-0008-0000-0400-000007000000}"/>
            </a:ext>
          </a:extLst>
        </xdr:cNvPr>
        <xdr:cNvSpPr/>
      </xdr:nvSpPr>
      <xdr:spPr>
        <a:xfrm>
          <a:off x="2964180" y="182880"/>
          <a:ext cx="10548000" cy="52578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ID" sz="1100">
            <a:solidFill>
              <a:schemeClr val="tx1"/>
            </a:solidFill>
            <a:latin typeface="Arial Rounded MT Bold" panose="020F0704030504030204" pitchFamily="34" charset="0"/>
          </a:endParaRPr>
        </a:p>
      </xdr:txBody>
    </xdr:sp>
    <xdr:clientData/>
  </xdr:twoCellAnchor>
  <xdr:twoCellAnchor editAs="absolute">
    <xdr:from>
      <xdr:col>9</xdr:col>
      <xdr:colOff>681990</xdr:colOff>
      <xdr:row>1</xdr:row>
      <xdr:rowOff>98789</xdr:rowOff>
    </xdr:from>
    <xdr:to>
      <xdr:col>10</xdr:col>
      <xdr:colOff>511810</xdr:colOff>
      <xdr:row>3</xdr:row>
      <xdr:rowOff>68309</xdr:rowOff>
    </xdr:to>
    <xdr:sp macro="" textlink="">
      <xdr:nvSpPr>
        <xdr:cNvPr id="8" name="TextBox 7">
          <a:hlinkClick xmlns:r="http://schemas.openxmlformats.org/officeDocument/2006/relationships" r:id="rId1"/>
          <a:extLst>
            <a:ext uri="{FF2B5EF4-FFF2-40B4-BE49-F238E27FC236}">
              <a16:creationId xmlns:a16="http://schemas.microsoft.com/office/drawing/2014/main" id="{00000000-0008-0000-0400-000008000000}"/>
            </a:ext>
          </a:extLst>
        </xdr:cNvPr>
        <xdr:cNvSpPr txBox="1"/>
      </xdr:nvSpPr>
      <xdr:spPr>
        <a:xfrm>
          <a:off x="7882890" y="281669"/>
          <a:ext cx="72898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solidFill>
                <a:schemeClr val="tx1"/>
              </a:solidFill>
              <a:latin typeface="Arial Rounded MT Bold" panose="020F0704030504030204" pitchFamily="34" charset="0"/>
            </a:rPr>
            <a:t>HOME</a:t>
          </a:r>
          <a:endParaRPr lang="en-ID" sz="1050">
            <a:solidFill>
              <a:schemeClr val="tx1"/>
            </a:solidFill>
            <a:latin typeface="Arial Rounded MT Bold" panose="020F0704030504030204" pitchFamily="34" charset="0"/>
          </a:endParaRPr>
        </a:p>
      </xdr:txBody>
    </xdr:sp>
    <xdr:clientData/>
  </xdr:twoCellAnchor>
  <xdr:twoCellAnchor editAs="absolute">
    <xdr:from>
      <xdr:col>10</xdr:col>
      <xdr:colOff>647700</xdr:colOff>
      <xdr:row>1</xdr:row>
      <xdr:rowOff>99060</xdr:rowOff>
    </xdr:from>
    <xdr:to>
      <xdr:col>12</xdr:col>
      <xdr:colOff>221782</xdr:colOff>
      <xdr:row>3</xdr:row>
      <xdr:rowOff>68580</xdr:rowOff>
    </xdr:to>
    <xdr:sp macro="" textlink="">
      <xdr:nvSpPr>
        <xdr:cNvPr id="9" name="TextBox 8">
          <a:hlinkClick xmlns:r="http://schemas.openxmlformats.org/officeDocument/2006/relationships" r:id="rId2"/>
          <a:extLst>
            <a:ext uri="{FF2B5EF4-FFF2-40B4-BE49-F238E27FC236}">
              <a16:creationId xmlns:a16="http://schemas.microsoft.com/office/drawing/2014/main" id="{00000000-0008-0000-0400-000009000000}"/>
            </a:ext>
          </a:extLst>
        </xdr:cNvPr>
        <xdr:cNvSpPr txBox="1"/>
      </xdr:nvSpPr>
      <xdr:spPr>
        <a:xfrm>
          <a:off x="8747760" y="281940"/>
          <a:ext cx="1265722"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TRANSAKSI</a:t>
          </a:r>
          <a:endParaRPr lang="en-ID" sz="1600">
            <a:latin typeface="Arial Rounded MT Bold" panose="020F0704030504030204" pitchFamily="34" charset="0"/>
          </a:endParaRPr>
        </a:p>
      </xdr:txBody>
    </xdr:sp>
    <xdr:clientData/>
  </xdr:twoCellAnchor>
  <xdr:twoCellAnchor editAs="absolute">
    <xdr:from>
      <xdr:col>12</xdr:col>
      <xdr:colOff>359612</xdr:colOff>
      <xdr:row>1</xdr:row>
      <xdr:rowOff>99060</xdr:rowOff>
    </xdr:from>
    <xdr:to>
      <xdr:col>13</xdr:col>
      <xdr:colOff>868680</xdr:colOff>
      <xdr:row>3</xdr:row>
      <xdr:rowOff>68580</xdr:rowOff>
    </xdr:to>
    <xdr:sp macro="" textlink="">
      <xdr:nvSpPr>
        <xdr:cNvPr id="10" name="TextBox 9">
          <a:hlinkClick xmlns:r="http://schemas.openxmlformats.org/officeDocument/2006/relationships" r:id="rId3"/>
          <a:extLst>
            <a:ext uri="{FF2B5EF4-FFF2-40B4-BE49-F238E27FC236}">
              <a16:creationId xmlns:a16="http://schemas.microsoft.com/office/drawing/2014/main" id="{00000000-0008-0000-0400-00000A000000}"/>
            </a:ext>
          </a:extLst>
        </xdr:cNvPr>
        <xdr:cNvSpPr txBox="1"/>
      </xdr:nvSpPr>
      <xdr:spPr>
        <a:xfrm>
          <a:off x="10151312" y="281940"/>
          <a:ext cx="1309168"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STOK</a:t>
          </a:r>
          <a:r>
            <a:rPr lang="en-ID" sz="1400" baseline="0">
              <a:latin typeface="Arial Rounded MT Bold" panose="020F0704030504030204" pitchFamily="34" charset="0"/>
            </a:rPr>
            <a:t> AKHIR</a:t>
          </a:r>
          <a:endParaRPr lang="en-ID" sz="1400">
            <a:latin typeface="Arial Rounded MT Bold" panose="020F0704030504030204" pitchFamily="34" charset="0"/>
          </a:endParaRPr>
        </a:p>
      </xdr:txBody>
    </xdr:sp>
    <xdr:clientData/>
  </xdr:twoCellAnchor>
  <xdr:twoCellAnchor editAs="absolute">
    <xdr:from>
      <xdr:col>13</xdr:col>
      <xdr:colOff>1007140</xdr:colOff>
      <xdr:row>1</xdr:row>
      <xdr:rowOff>97155</xdr:rowOff>
    </xdr:from>
    <xdr:to>
      <xdr:col>14</xdr:col>
      <xdr:colOff>613812</xdr:colOff>
      <xdr:row>3</xdr:row>
      <xdr:rowOff>66675</xdr:rowOff>
    </xdr:to>
    <xdr:sp macro="" textlink="">
      <xdr:nvSpPr>
        <xdr:cNvPr id="11" name="TextBox 10">
          <a:hlinkClick xmlns:r="http://schemas.openxmlformats.org/officeDocument/2006/relationships" r:id="rId4"/>
          <a:extLst>
            <a:ext uri="{FF2B5EF4-FFF2-40B4-BE49-F238E27FC236}">
              <a16:creationId xmlns:a16="http://schemas.microsoft.com/office/drawing/2014/main" id="{00000000-0008-0000-0400-00000B000000}"/>
            </a:ext>
          </a:extLst>
        </xdr:cNvPr>
        <xdr:cNvSpPr txBox="1"/>
      </xdr:nvSpPr>
      <xdr:spPr>
        <a:xfrm>
          <a:off x="11598940" y="280035"/>
          <a:ext cx="688712"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latin typeface="Arial Rounded MT Bold" panose="020F0704030504030204" pitchFamily="34" charset="0"/>
            </a:rPr>
            <a:t>DATA</a:t>
          </a:r>
          <a:endParaRPr lang="en-ID" sz="1600">
            <a:latin typeface="Arial Rounded MT Bold" panose="020F0704030504030204" pitchFamily="34" charset="0"/>
          </a:endParaRPr>
        </a:p>
      </xdr:txBody>
    </xdr:sp>
    <xdr:clientData/>
  </xdr:twoCellAnchor>
  <xdr:twoCellAnchor editAs="absolute">
    <xdr:from>
      <xdr:col>0</xdr:col>
      <xdr:colOff>251460</xdr:colOff>
      <xdr:row>1</xdr:row>
      <xdr:rowOff>232</xdr:rowOff>
    </xdr:from>
    <xdr:to>
      <xdr:col>3</xdr:col>
      <xdr:colOff>915060</xdr:colOff>
      <xdr:row>50</xdr:row>
      <xdr:rowOff>59872</xdr:rowOff>
    </xdr:to>
    <xdr:sp macro="" textlink="">
      <xdr:nvSpPr>
        <xdr:cNvPr id="13" name="Rectangle: Rounded Corners 12">
          <a:extLst>
            <a:ext uri="{FF2B5EF4-FFF2-40B4-BE49-F238E27FC236}">
              <a16:creationId xmlns:a16="http://schemas.microsoft.com/office/drawing/2014/main" id="{00000000-0008-0000-0400-00000D000000}"/>
            </a:ext>
          </a:extLst>
        </xdr:cNvPr>
        <xdr:cNvSpPr/>
      </xdr:nvSpPr>
      <xdr:spPr>
        <a:xfrm>
          <a:off x="251460" y="183112"/>
          <a:ext cx="2340000" cy="9036000"/>
        </a:xfrm>
        <a:prstGeom prst="roundRect">
          <a:avLst>
            <a:gd name="adj" fmla="val 5593"/>
          </a:avLst>
        </a:prstGeom>
        <a:solidFill>
          <a:srgbClr val="7C7C7C"/>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editAs="absolute">
    <xdr:from>
      <xdr:col>14</xdr:col>
      <xdr:colOff>739140</xdr:colOff>
      <xdr:row>1</xdr:row>
      <xdr:rowOff>65715</xdr:rowOff>
    </xdr:from>
    <xdr:to>
      <xdr:col>15</xdr:col>
      <xdr:colOff>736556</xdr:colOff>
      <xdr:row>3</xdr:row>
      <xdr:rowOff>96195</xdr:rowOff>
    </xdr:to>
    <xdr:sp macro="" textlink="">
      <xdr:nvSpPr>
        <xdr:cNvPr id="14" name="Rectangle: Rounded Corners 13">
          <a:extLst>
            <a:ext uri="{FF2B5EF4-FFF2-40B4-BE49-F238E27FC236}">
              <a16:creationId xmlns:a16="http://schemas.microsoft.com/office/drawing/2014/main" id="{00000000-0008-0000-0400-00000E000000}"/>
            </a:ext>
          </a:extLst>
        </xdr:cNvPr>
        <xdr:cNvSpPr/>
      </xdr:nvSpPr>
      <xdr:spPr>
        <a:xfrm>
          <a:off x="12420349" y="249935"/>
          <a:ext cx="993877" cy="398919"/>
        </a:xfrm>
        <a:prstGeom prst="roundRect">
          <a:avLst/>
        </a:prstGeom>
        <a:solidFill>
          <a:srgbClr val="3E3E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editAs="absolute">
    <xdr:from>
      <xdr:col>14</xdr:col>
      <xdr:colOff>752595</xdr:colOff>
      <xdr:row>1</xdr:row>
      <xdr:rowOff>94873</xdr:rowOff>
    </xdr:from>
    <xdr:to>
      <xdr:col>15</xdr:col>
      <xdr:colOff>724655</xdr:colOff>
      <xdr:row>3</xdr:row>
      <xdr:rowOff>64393</xdr:rowOff>
    </xdr:to>
    <xdr:sp macro="" textlink="">
      <xdr:nvSpPr>
        <xdr:cNvPr id="15" name="TextBox 14">
          <a:hlinkClick xmlns:r="http://schemas.openxmlformats.org/officeDocument/2006/relationships" r:id="rId5"/>
          <a:extLst>
            <a:ext uri="{FF2B5EF4-FFF2-40B4-BE49-F238E27FC236}">
              <a16:creationId xmlns:a16="http://schemas.microsoft.com/office/drawing/2014/main" id="{00000000-0008-0000-0400-00000F000000}"/>
            </a:ext>
          </a:extLst>
        </xdr:cNvPr>
        <xdr:cNvSpPr txBox="1"/>
      </xdr:nvSpPr>
      <xdr:spPr>
        <a:xfrm>
          <a:off x="12433804" y="279093"/>
          <a:ext cx="968521" cy="3379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a:solidFill>
                <a:schemeClr val="bg1"/>
              </a:solidFill>
              <a:latin typeface="Arial Rounded MT Bold" panose="020F0704030504030204" pitchFamily="34" charset="0"/>
            </a:rPr>
            <a:t>SEARCH</a:t>
          </a:r>
        </a:p>
      </xdr:txBody>
    </xdr:sp>
    <xdr:clientData/>
  </xdr:twoCellAnchor>
  <xdr:twoCellAnchor editAs="absolute">
    <xdr:from>
      <xdr:col>5</xdr:col>
      <xdr:colOff>53340</xdr:colOff>
      <xdr:row>1</xdr:row>
      <xdr:rowOff>106680</xdr:rowOff>
    </xdr:from>
    <xdr:to>
      <xdr:col>7</xdr:col>
      <xdr:colOff>121920</xdr:colOff>
      <xdr:row>3</xdr:row>
      <xdr:rowOff>91440</xdr:rowOff>
    </xdr:to>
    <xdr:sp macro="" textlink="">
      <xdr:nvSpPr>
        <xdr:cNvPr id="16" name="TextBox 15">
          <a:extLst>
            <a:ext uri="{FF2B5EF4-FFF2-40B4-BE49-F238E27FC236}">
              <a16:creationId xmlns:a16="http://schemas.microsoft.com/office/drawing/2014/main" id="{00000000-0008-0000-0400-000010000000}"/>
            </a:ext>
          </a:extLst>
        </xdr:cNvPr>
        <xdr:cNvSpPr txBox="1"/>
      </xdr:nvSpPr>
      <xdr:spPr>
        <a:xfrm>
          <a:off x="3413760" y="289560"/>
          <a:ext cx="19812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d-ID" sz="1600">
              <a:latin typeface="Arial Rounded MT Bold" panose="020F0704030504030204" pitchFamily="34" charset="0"/>
            </a:rPr>
            <a:t>SEARCH</a:t>
          </a:r>
          <a:endParaRPr lang="en-ID" sz="1600">
            <a:latin typeface="Arial Rounded MT Bold" panose="020F0704030504030204" pitchFamily="34" charset="0"/>
          </a:endParaRPr>
        </a:p>
      </xdr:txBody>
    </xdr:sp>
    <xdr:clientData/>
  </xdr:twoCellAnchor>
  <xdr:twoCellAnchor editAs="absolute">
    <xdr:from>
      <xdr:col>4</xdr:col>
      <xdr:colOff>226237</xdr:colOff>
      <xdr:row>1</xdr:row>
      <xdr:rowOff>55180</xdr:rowOff>
    </xdr:from>
    <xdr:to>
      <xdr:col>5</xdr:col>
      <xdr:colOff>63064</xdr:colOff>
      <xdr:row>3</xdr:row>
      <xdr:rowOff>98499</xdr:rowOff>
    </xdr:to>
    <xdr:pic>
      <xdr:nvPicPr>
        <xdr:cNvPr id="12" name="Grafik 11" descr="Kaca pembesar dengan isian solid">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15157" y="238060"/>
          <a:ext cx="408327" cy="409079"/>
        </a:xfrm>
        <a:prstGeom prst="rect">
          <a:avLst/>
        </a:prstGeom>
      </xdr:spPr>
    </xdr:pic>
    <xdr:clientData/>
  </xdr:twoCellAnchor>
  <xdr:twoCellAnchor editAs="absolute">
    <xdr:from>
      <xdr:col>6</xdr:col>
      <xdr:colOff>568363</xdr:colOff>
      <xdr:row>6</xdr:row>
      <xdr:rowOff>1839</xdr:rowOff>
    </xdr:from>
    <xdr:to>
      <xdr:col>13</xdr:col>
      <xdr:colOff>555720</xdr:colOff>
      <xdr:row>8</xdr:row>
      <xdr:rowOff>65075</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4858423" y="1099119"/>
          <a:ext cx="6289097" cy="428996"/>
          <a:chOff x="4151500" y="1157293"/>
          <a:chExt cx="6244357" cy="436484"/>
        </a:xfrm>
      </xdr:grpSpPr>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4151500" y="1157293"/>
            <a:ext cx="6244357" cy="434185"/>
          </a:xfrm>
          <a:prstGeom prst="roundRect">
            <a:avLst>
              <a:gd name="adj" fmla="val 50000"/>
            </a:avLst>
          </a:prstGeom>
          <a:noFill/>
          <a:ln>
            <a:solidFill>
              <a:srgbClr val="3E3E3E"/>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mc:AlternateContent xmlns:mc="http://schemas.openxmlformats.org/markup-compatibility/2006">
        <mc:Choice xmlns:a14="http://schemas.microsoft.com/office/drawing/2010/main" Requires="a14">
          <xdr:sp macro="" textlink="">
            <xdr:nvSpPr>
              <xdr:cNvPr id="5121" name="TxtBoxSearch"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4968552" y="1241126"/>
                <a:ext cx="5046306" cy="28178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4" name="Rectangle: Top Corners Rounded 3">
            <a:extLst>
              <a:ext uri="{FF2B5EF4-FFF2-40B4-BE49-F238E27FC236}">
                <a16:creationId xmlns:a16="http://schemas.microsoft.com/office/drawing/2014/main" id="{00000000-0008-0000-0400-000004000000}"/>
              </a:ext>
            </a:extLst>
          </xdr:cNvPr>
          <xdr:cNvSpPr/>
        </xdr:nvSpPr>
        <xdr:spPr>
          <a:xfrm rot="5400000">
            <a:off x="4205232" y="1122660"/>
            <a:ext cx="420082" cy="522151"/>
          </a:xfrm>
          <a:prstGeom prst="round2SameRect">
            <a:avLst>
              <a:gd name="adj1" fmla="val 0"/>
              <a:gd name="adj2" fmla="val 50000"/>
            </a:avLst>
          </a:prstGeom>
          <a:solidFill>
            <a:srgbClr val="3E3E3E"/>
          </a:solidFill>
          <a:ln>
            <a:solidFill>
              <a:srgbClr val="3E3E3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grpSp>
    <xdr:clientData/>
  </xdr:twoCellAnchor>
  <xdr:twoCellAnchor editAs="absolute">
    <xdr:from>
      <xdr:col>6</xdr:col>
      <xdr:colOff>681359</xdr:colOff>
      <xdr:row>6</xdr:row>
      <xdr:rowOff>53098</xdr:rowOff>
    </xdr:from>
    <xdr:to>
      <xdr:col>7</xdr:col>
      <xdr:colOff>43777</xdr:colOff>
      <xdr:row>8</xdr:row>
      <xdr:rowOff>26635</xdr:rowOff>
    </xdr:to>
    <xdr:pic>
      <xdr:nvPicPr>
        <xdr:cNvPr id="17" name="Grafik 16" descr="Kaca pembesar dengan isian solid">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971419" y="1150378"/>
          <a:ext cx="345398" cy="33929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994.496652546295" createdVersion="8" refreshedVersion="8" minRefreshableVersion="3" recordCount="70" xr:uid="{BA005768-683C-4CE3-9266-24E06926E90C}">
  <cacheSource type="worksheet">
    <worksheetSource name="TblTransaksi"/>
  </cacheSource>
  <cacheFields count="7">
    <cacheField name="Tanggal" numFmtId="14">
      <sharedItems count="1">
        <s v="30/11/2025"/>
      </sharedItems>
    </cacheField>
    <cacheField name="Kode Barang" numFmtId="0">
      <sharedItems count="61">
        <s v="ARS001"/>
        <s v="ARS036"/>
        <s v="ARS006"/>
        <s v="ARS023"/>
        <s v="ATK042"/>
        <s v="KEB097"/>
        <s v="PER083"/>
        <s v="ARS047"/>
        <s v="ARS080"/>
        <s v="ATK091"/>
        <s v="ELE087"/>
        <s v="ATK092"/>
        <s v="KEB066"/>
        <s v="LAI043"/>
        <s v="ATK041"/>
        <s v="ATK054"/>
        <s v="PER002"/>
        <s v="ATK014"/>
        <s v="ELE035"/>
        <s v="LAI074"/>
        <s v="LAI058"/>
        <s v="ATK097"/>
        <s v="ARS069"/>
        <s v="ELE015"/>
        <s v="KEB082"/>
        <s v="PER011"/>
        <s v="LAI034"/>
        <s v="KEB020"/>
        <s v="ATK018"/>
        <s v="ELE038"/>
        <s v="ARS007"/>
        <s v="PER010"/>
        <s v="ARS089"/>
        <s v="ARS071"/>
        <s v="PER098"/>
        <s v="KEB004"/>
        <s v="KEB067"/>
        <s v="ATK061"/>
        <s v="ATK084"/>
        <s v="ELE003"/>
        <s v="ATK016"/>
        <s v="KEB024"/>
        <s v="ELE027"/>
        <s v="KEB025"/>
        <s v="LAI008"/>
        <s v="ARS056"/>
        <s v="KEB009"/>
        <s v="PER046"/>
        <s v="LAI039"/>
        <s v="LAI051"/>
        <s v="PER053"/>
        <s v="ARS055"/>
        <s v="LAI090"/>
        <s v="LAI026"/>
        <s v="PER078"/>
        <s v="ATK065"/>
        <s v="PER052"/>
        <s v="KEB098"/>
        <s v="PER095"/>
        <s v="ELE031"/>
        <s v="LAI075"/>
      </sharedItems>
    </cacheField>
    <cacheField name="Nama Barang" numFmtId="0">
      <sharedItems count="45">
        <s v="Map Kertas"/>
        <s v="Binder Arsip"/>
        <s v="File Dividers"/>
        <s v="Stopmap"/>
        <s v="Pulpen Hitam"/>
        <s v="Sabun Lantai"/>
        <s v="Kursi Rapat"/>
        <s v="Ordner"/>
        <s v="Clip Folder"/>
        <s v="Pensil HB"/>
        <s v="Charger HP"/>
        <s v="Spidol"/>
        <s v="Pel Lantai"/>
        <s v="Lakban"/>
        <s v="Buku Tulis"/>
        <s v="Penggaris 30cm"/>
        <s v="Meja Rapat"/>
        <s v="Kertas HVS"/>
        <s v="Kabel HDMI"/>
        <s v="Benang"/>
        <s v="Selotip"/>
        <s v="Pulpen Merah"/>
        <s v="Keyboard USB"/>
        <s v="Kain Lap"/>
        <s v="Lemari Besi"/>
        <s v="Kabel Ties"/>
        <s v="Disinfektan"/>
        <s v="Adaptor 5V"/>
        <s v="Meja Kerja"/>
        <s v="Kertas Arsip"/>
        <s v="Papan Tulis"/>
        <s v="Tisu"/>
        <s v="Headset"/>
        <s v="Spons"/>
        <s v="Plastik Klip"/>
        <s v="Lemari Arsip"/>
        <s v="Karet Gelang"/>
        <s v="Tali Rafiah"/>
        <s v="Amplop Coklat"/>
        <s v="Double Tape"/>
        <s v="Rak Buku"/>
        <s v="Kursi Plastik"/>
        <s v="Spons Besi"/>
        <s v="Kursi Kantor"/>
        <s v="Mouse Wireless"/>
      </sharedItems>
    </cacheField>
    <cacheField name="Jenis Transaksi" numFmtId="0">
      <sharedItems count="2">
        <s v="Masuk"/>
        <s v="Keluar"/>
      </sharedItems>
    </cacheField>
    <cacheField name="Jumlah" numFmtId="0">
      <sharedItems containsSemiMixedTypes="0" containsString="0" containsNumber="1" containsInteger="1" minValue="1" maxValue="280" count="53">
        <n v="30"/>
        <n v="25"/>
        <n v="5"/>
        <n v="20"/>
        <n v="50"/>
        <n v="12"/>
        <n v="7"/>
        <n v="21"/>
        <n v="67"/>
        <n v="60"/>
        <n v="100"/>
        <n v="15"/>
        <n v="40"/>
        <n v="44"/>
        <n v="141"/>
        <n v="26"/>
        <n v="69"/>
        <n v="93"/>
        <n v="57"/>
        <n v="73"/>
        <n v="250"/>
        <n v="240"/>
        <n v="28"/>
        <n v="36"/>
        <n v="82"/>
        <n v="1"/>
        <n v="59"/>
        <n v="74"/>
        <n v="66"/>
        <n v="35"/>
        <n v="45"/>
        <n v="75"/>
        <n v="23"/>
        <n v="52"/>
        <n v="91"/>
        <n v="22"/>
        <n v="9"/>
        <n v="86"/>
        <n v="54"/>
        <n v="46"/>
        <n v="200"/>
        <n v="64"/>
        <n v="13"/>
        <n v="55"/>
        <n v="76"/>
        <n v="167"/>
        <n v="95"/>
        <n v="6"/>
        <n v="34"/>
        <n v="280"/>
        <n v="150"/>
        <n v="53"/>
        <n v="71"/>
      </sharedItems>
    </cacheField>
    <cacheField name="Harga Satuan" numFmtId="44">
      <sharedItems containsSemiMixedTypes="0" containsString="0" containsNumber="1" containsInteger="1" minValue="4800" maxValue="199000" count="59">
        <n v="20000"/>
        <n v="51800"/>
        <n v="135300"/>
        <n v="69600"/>
        <n v="41600"/>
        <n v="80800"/>
        <n v="179300"/>
        <n v="182400"/>
        <n v="193000"/>
        <n v="140400"/>
        <n v="104200"/>
        <n v="196300"/>
        <n v="120700"/>
        <n v="90800"/>
        <n v="16000"/>
        <n v="131700"/>
        <n v="150000"/>
        <n v="110600"/>
        <n v="105400"/>
        <n v="116300"/>
        <n v="164900"/>
        <n v="179000"/>
        <n v="24100"/>
        <n v="174600"/>
        <n v="178000"/>
        <n v="151000"/>
        <n v="197600"/>
        <n v="132000"/>
        <n v="199000"/>
        <n v="20400"/>
        <n v="157500"/>
        <n v="196000"/>
        <n v="28300"/>
        <n v="98100"/>
        <n v="37900"/>
        <n v="25700"/>
        <n v="54300"/>
        <n v="34400"/>
        <n v="129000"/>
        <n v="134300"/>
        <n v="175900"/>
        <n v="4800"/>
        <n v="134400"/>
        <n v="6800"/>
        <n v="131500"/>
        <n v="169000"/>
        <n v="65200"/>
        <n v="190200"/>
        <n v="16100"/>
        <n v="157300"/>
        <n v="9800"/>
        <n v="152300"/>
        <n v="5400"/>
        <n v="15700"/>
        <n v="37300"/>
        <n v="5000"/>
        <n v="60000"/>
        <n v="5600"/>
        <n v="68300"/>
      </sharedItems>
    </cacheField>
    <cacheField name="Total Harga" numFmtId="44">
      <sharedItems containsSemiMixedTypes="0" containsString="0" containsNumber="1" containsInteger="1" minValue="61200" maxValue="38040000" count="70">
        <n v="600000"/>
        <n v="1295000"/>
        <n v="676500"/>
        <n v="1392000"/>
        <n v="2080000"/>
        <n v="969600"/>
        <n v="1255100"/>
        <n v="3830400"/>
        <n v="12931000"/>
        <n v="2808000"/>
        <n v="6252000"/>
        <n v="19630000"/>
        <n v="1810500"/>
        <n v="3632000"/>
        <n v="320000"/>
        <n v="3951000"/>
        <n v="15000000"/>
        <n v="5530000"/>
        <n v="4637600"/>
        <n v="3489000"/>
        <n v="23250900"/>
        <n v="4654000"/>
        <n v="1662900"/>
        <n v="16237800"/>
        <n v="10146000"/>
        <n v="1812000"/>
        <n v="2964000"/>
        <n v="9636000"/>
        <n v="5970000"/>
        <n v="1020000"/>
        <n v="8977500"/>
        <n v="33825000"/>
        <n v="4800000"/>
        <n v="2940000"/>
        <n v="792400"/>
        <n v="3531600"/>
        <n v="3107800"/>
        <n v="80800"/>
        <n v="7770300"/>
        <n v="7799600"/>
        <n v="1696200"/>
        <n v="1900500"/>
        <n v="1376000"/>
        <n v="5805000"/>
        <n v="10072500"/>
        <n v="4045700"/>
        <n v="249600"/>
        <n v="12012000"/>
        <n v="134400"/>
        <n v="105600"/>
        <n v="61200"/>
        <n v="11309000"/>
        <n v="9126000"/>
        <n v="1956000"/>
        <n v="8390400"/>
        <n v="38040000"/>
        <n v="1030400"/>
        <n v="2044900"/>
        <n v="9845000"/>
        <n v="744800"/>
        <n v="8224200"/>
        <n v="901800"/>
        <n v="12853500"/>
        <n v="94200"/>
        <n v="1268200"/>
        <n v="1400000"/>
        <n v="9000000"/>
        <n v="140000"/>
        <n v="853300"/>
        <n v="484930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hammad Alvian Alpharomeo" refreshedDate="45997.416320601849" backgroundQuery="1" createdVersion="7" refreshedVersion="7" minRefreshableVersion="3" recordCount="0" supportSubquery="1" supportAdvancedDrill="1" xr:uid="{D06720AA-BBB5-4858-A788-544C97881CF7}">
  <cacheSource type="external" connectionId="1"/>
  <cacheFields count="4">
    <cacheField name="[Measures].[Count of Kode Barang]" caption="Count of Kode Barang" numFmtId="0" hierarchy="28" level="32767"/>
    <cacheField name="[TblStokAkhir].[Status].[Status]" caption="Status" numFmtId="0" hierarchy="14" level="1">
      <sharedItems count="3">
        <s v="Aman"/>
        <s v="Habis"/>
        <s v="Menipis"/>
      </sharedItems>
    </cacheField>
    <cacheField name="[Table_Barang].[Kategori].[Kategori]" caption="Kategori" numFmtId="0" hierarchy="2" level="1">
      <sharedItems count="6">
        <s v="Arsip"/>
        <s v="ATK"/>
        <s v="Elektronik"/>
        <s v="Kebersihan"/>
        <s v="Lainnya"/>
        <s v="Perabotan"/>
      </sharedItems>
    </cacheField>
    <cacheField name="[TblTransaksi].[Jenis Transaksi].[Jenis Transaksi]" caption="Jenis Transaksi" numFmtId="0" hierarchy="18" level="1">
      <sharedItems containsSemiMixedTypes="0" containsNonDate="0" containsString="0"/>
    </cacheField>
  </cacheFields>
  <cacheHierarchies count="29">
    <cacheHierarchy uniqueName="[Table_Barang].[Kode Barang]" caption="Kode Barang" attribute="1" defaultMemberUniqueName="[Table_Barang].[Kode Barang].[All]" allUniqueName="[Table_Barang].[Kode Barang].[All]" dimensionUniqueName="[Table_Barang]" displayFolder="" count="2" memberValueDatatype="130" unbalanced="0"/>
    <cacheHierarchy uniqueName="[Table_Barang].[Nama Barang]" caption="Nama Barang" attribute="1" defaultMemberUniqueName="[Table_Barang].[Nama Barang].[All]" allUniqueName="[Table_Barang].[Nama Barang].[All]" dimensionUniqueName="[Table_Barang]" displayFolder="" count="2" memberValueDatatype="130" unbalanced="0"/>
    <cacheHierarchy uniqueName="[Table_Barang].[Kategori]" caption="Kategori" attribute="1" defaultMemberUniqueName="[Table_Barang].[Kategori].[All]" allUniqueName="[Table_Barang].[Kategori].[All]" dimensionUniqueName="[Table_Barang]" displayFolder="" count="2" memberValueDatatype="130" unbalanced="0">
      <fieldsUsage count="2">
        <fieldUsage x="-1"/>
        <fieldUsage x="2"/>
      </fieldsUsage>
    </cacheHierarchy>
    <cacheHierarchy uniqueName="[Table_Barang].[Satuan]" caption="Satuan" attribute="1" defaultMemberUniqueName="[Table_Barang].[Satuan].[All]" allUniqueName="[Table_Barang].[Satuan].[All]" dimensionUniqueName="[Table_Barang]" displayFolder="" count="2" memberValueDatatype="130" unbalanced="0"/>
    <cacheHierarchy uniqueName="[Table_Barang].[Harga Satuan]" caption="Harga Satuan" attribute="1" defaultMemberUniqueName="[Table_Barang].[Harga Satuan].[All]" allUniqueName="[Table_Barang].[Harga Satuan].[All]" dimensionUniqueName="[Table_Barang]" displayFolder="" count="2" memberValueDatatype="20" unbalanced="0"/>
    <cacheHierarchy uniqueName="[Table_Barang].[Stok Awal]" caption="Stok Awal" attribute="1" defaultMemberUniqueName="[Table_Barang].[Stok Awal].[All]" allUniqueName="[Table_Barang].[Stok Awal].[All]" dimensionUniqueName="[Table_Barang]" displayFolder="" count="2" memberValueDatatype="20" unbalanced="0"/>
    <cacheHierarchy uniqueName="[Table_Barang].[Stok Minimum]" caption="Stok Minimum" attribute="1" defaultMemberUniqueName="[Table_Barang].[Stok Minimum].[All]" allUniqueName="[Table_Barang].[Stok Minimum].[All]" dimensionUniqueName="[Table_Barang]" displayFolder="" count="2" memberValueDatatype="20" unbalanced="0"/>
    <cacheHierarchy uniqueName="[TblStokAkhir].[Kode Barang]" caption="Kode Barang" attribute="1" defaultMemberUniqueName="[TblStokAkhir].[Kode Barang].[All]" allUniqueName="[TblStokAkhir].[Kode Barang].[All]" dimensionUniqueName="[TblStokAkhir]" displayFolder="" count="2" memberValueDatatype="130" unbalanced="0"/>
    <cacheHierarchy uniqueName="[TblStokAkhir].[Nama barang]" caption="Nama barang" attribute="1" defaultMemberUniqueName="[TblStokAkhir].[Nama barang].[All]" allUniqueName="[TblStokAkhir].[Nama barang].[All]" dimensionUniqueName="[TblStokAkhir]" displayFolder="" count="2" memberValueDatatype="130" unbalanced="0"/>
    <cacheHierarchy uniqueName="[TblStokAkhir].[Total Masuk]" caption="Total Masuk" attribute="1" defaultMemberUniqueName="[TblStokAkhir].[Total Masuk].[All]" allUniqueName="[TblStokAkhir].[Total Masuk].[All]" dimensionUniqueName="[TblStokAkhir]" displayFolder="" count="2" memberValueDatatype="20" unbalanced="0"/>
    <cacheHierarchy uniqueName="[TblStokAkhir].[Total keluar]" caption="Total keluar" attribute="1" defaultMemberUniqueName="[TblStokAkhir].[Total keluar].[All]" allUniqueName="[TblStokAkhir].[Total keluar].[All]" dimensionUniqueName="[TblStokAkhir]" displayFolder="" count="2" memberValueDatatype="20" unbalanced="0"/>
    <cacheHierarchy uniqueName="[TblStokAkhir].[Stok Awal]" caption="Stok Awal" attribute="1" defaultMemberUniqueName="[TblStokAkhir].[Stok Awal].[All]" allUniqueName="[TblStokAkhir].[Stok Awal].[All]" dimensionUniqueName="[TblStokAkhir]" displayFolder="" count="2" memberValueDatatype="20" unbalanced="0"/>
    <cacheHierarchy uniqueName="[TblStokAkhir].[Stok Akhir]" caption="Stok Akhir" attribute="1" defaultMemberUniqueName="[TblStokAkhir].[Stok Akhir].[All]" allUniqueName="[TblStokAkhir].[Stok Akhir].[All]" dimensionUniqueName="[TblStokAkhir]" displayFolder="" count="2" memberValueDatatype="20" unbalanced="0"/>
    <cacheHierarchy uniqueName="[TblStokAkhir].[Stok Minimum]" caption="Stok Minimum" attribute="1" defaultMemberUniqueName="[TblStokAkhir].[Stok Minimum].[All]" allUniqueName="[TblStokAkhir].[Stok Minimum].[All]" dimensionUniqueName="[TblStokAkhir]" displayFolder="" count="2" memberValueDatatype="20" unbalanced="0"/>
    <cacheHierarchy uniqueName="[TblStokAkhir].[Status]" caption="Status" attribute="1" defaultMemberUniqueName="[TblStokAkhir].[Status].[All]" allUniqueName="[TblStokAkhir].[Status].[All]" dimensionUniqueName="[TblStokAkhir]" displayFolder="" count="2" memberValueDatatype="130" unbalanced="0">
      <fieldsUsage count="2">
        <fieldUsage x="-1"/>
        <fieldUsage x="1"/>
      </fieldsUsage>
    </cacheHierarchy>
    <cacheHierarchy uniqueName="[TblTransaksi].[Tanggal]" caption="Tanggal" attribute="1" defaultMemberUniqueName="[TblTransaksi].[Tanggal].[All]" allUniqueName="[TblTransaksi].[Tanggal].[All]" dimensionUniqueName="[TblTransaksi]" displayFolder="" count="2" memberValueDatatype="130" unbalanced="0"/>
    <cacheHierarchy uniqueName="[TblTransaksi].[Kode Barang]" caption="Kode Barang" attribute="1" defaultMemberUniqueName="[TblTransaksi].[Kode Barang].[All]" allUniqueName="[TblTransaksi].[Kode Barang].[All]" dimensionUniqueName="[TblTransaksi]" displayFolder="" count="2" memberValueDatatype="130" unbalanced="0"/>
    <cacheHierarchy uniqueName="[TblTransaksi].[Nama Barang]" caption="Nama Barang" attribute="1" defaultMemberUniqueName="[TblTransaksi].[Nama Barang].[All]" allUniqueName="[TblTransaksi].[Nama Barang].[All]" dimensionUniqueName="[TblTransaksi]" displayFolder="" count="2" memberValueDatatype="130" unbalanced="0"/>
    <cacheHierarchy uniqueName="[TblTransaksi].[Jenis Transaksi]" caption="Jenis Transaksi" attribute="1" defaultMemberUniqueName="[TblTransaksi].[Jenis Transaksi].[All]" allUniqueName="[TblTransaksi].[Jenis Transaksi].[All]" dimensionUniqueName="[TblTransaksi]" displayFolder="" count="2" memberValueDatatype="130" unbalanced="0">
      <fieldsUsage count="2">
        <fieldUsage x="-1"/>
        <fieldUsage x="3"/>
      </fieldsUsage>
    </cacheHierarchy>
    <cacheHierarchy uniqueName="[TblTransaksi].[Jumlah]" caption="Jumlah" attribute="1" defaultMemberUniqueName="[TblTransaksi].[Jumlah].[All]" allUniqueName="[TblTransaksi].[Jumlah].[All]" dimensionUniqueName="[TblTransaksi]" displayFolder="" count="2" memberValueDatatype="20" unbalanced="0"/>
    <cacheHierarchy uniqueName="[TblTransaksi].[Harga Satuan]" caption="Harga Satuan" attribute="1" defaultMemberUniqueName="[TblTransaksi].[Harga Satuan].[All]" allUniqueName="[TblTransaksi].[Harga Satuan].[All]" dimensionUniqueName="[TblTransaksi]" displayFolder="" count="2" memberValueDatatype="20" unbalanced="0"/>
    <cacheHierarchy uniqueName="[TblTransaksi].[Total Harga]" caption="Total Harga" attribute="1" defaultMemberUniqueName="[TblTransaksi].[Total Harga].[All]" allUniqueName="[TblTransaksi].[Total Harga].[All]" dimensionUniqueName="[TblTransaksi]" displayFolder="" count="2" memberValueDatatype="20" unbalanced="0"/>
    <cacheHierarchy uniqueName="[Measures].[__XL_Count Table_Barang]" caption="__XL_Count Table_Barang" measure="1" displayFolder="" measureGroup="Table_Barang" count="0" hidden="1"/>
    <cacheHierarchy uniqueName="[Measures].[__XL_Count TblTransaksi]" caption="__XL_Count TblTransaksi" measure="1" displayFolder="" measureGroup="TblTransaksi" count="0" hidden="1"/>
    <cacheHierarchy uniqueName="[Measures].[__XL_Count TblStokAkhir]" caption="__XL_Count TblStokAkhir" measure="1" displayFolder="" measureGroup="TblStokAkhir" count="0" hidden="1"/>
    <cacheHierarchy uniqueName="[Measures].[__No measures defined]" caption="__No measures defined" measure="1" displayFolder="" count="0" hidden="1"/>
    <cacheHierarchy uniqueName="[Measures].[Hitung dari Kode Barang]" caption="Hitung dari Kode Barang" measure="1" displayFolder="" measureGroup="Table_Barang" count="0" hidden="1">
      <extLst>
        <ext xmlns:x15="http://schemas.microsoft.com/office/spreadsheetml/2010/11/main" uri="{B97F6D7D-B522-45F9-BDA1-12C45D357490}">
          <x15:cacheHierarchy aggregatedColumn="0"/>
        </ext>
      </extLst>
    </cacheHierarchy>
    <cacheHierarchy uniqueName="[Measures].[Jumlah dari Total Harga]" caption="Jumlah dari Total Harga" measure="1" displayFolder="" measureGroup="TblTransaksi" count="0" hidden="1">
      <extLst>
        <ext xmlns:x15="http://schemas.microsoft.com/office/spreadsheetml/2010/11/main" uri="{B97F6D7D-B522-45F9-BDA1-12C45D357490}">
          <x15:cacheHierarchy aggregatedColumn="21"/>
        </ext>
      </extLst>
    </cacheHierarchy>
    <cacheHierarchy uniqueName="[Measures].[Count of Kode Barang]" caption="Count of Kode Barang" measure="1" displayFolder="" measureGroup="TblStokAkhir" count="0" oneField="1" hidden="1">
      <fieldsUsage count="1">
        <fieldUsage x="0"/>
      </fieldsUsage>
      <extLst>
        <ext xmlns:x15="http://schemas.microsoft.com/office/spreadsheetml/2010/11/main" uri="{B97F6D7D-B522-45F9-BDA1-12C45D357490}">
          <x15:cacheHierarchy aggregatedColumn="7"/>
        </ext>
      </extLst>
    </cacheHierarchy>
  </cacheHierarchies>
  <kpis count="0"/>
  <dimensions count="4">
    <dimension measure="1" name="Measures" uniqueName="[Measures]" caption="Measures"/>
    <dimension name="Table_Barang" uniqueName="[Table_Barang]" caption="Table_Barang"/>
    <dimension name="TblStokAkhir" uniqueName="[TblStokAkhir]" caption="TblStokAkhir"/>
    <dimension name="TblTransaksi" uniqueName="[TblTransaksi]" caption="TblTransaksi"/>
  </dimensions>
  <measureGroups count="3">
    <measureGroup name="Table_Barang" caption="Table_Barang"/>
    <measureGroup name="TblStokAkhir" caption="TblStokAkhir"/>
    <measureGroup name="TblTransaksi" caption="TblTransaksi"/>
  </measureGroups>
  <maps count="5">
    <map measureGroup="0" dimension="1"/>
    <map measureGroup="1" dimension="1"/>
    <map measureGroup="1" dimension="2"/>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hammad Alvian Alpharomeo" refreshedDate="45997.416322685189" backgroundQuery="1" createdVersion="7" refreshedVersion="7" minRefreshableVersion="3" recordCount="0" supportSubquery="1" supportAdvancedDrill="1" xr:uid="{364B1516-0CCD-4E90-9869-F6AFEA14E622}">
  <cacheSource type="external" connectionId="1"/>
  <cacheFields count="4">
    <cacheField name="[Table_Barang].[Kategori].[Kategori]" caption="Kategori" numFmtId="0" hierarchy="2" level="1">
      <sharedItems count="6">
        <s v="Arsip"/>
        <s v="ATK"/>
        <s v="Elektronik"/>
        <s v="Kebersihan"/>
        <s v="Lainnya"/>
        <s v="Perabotan"/>
      </sharedItems>
    </cacheField>
    <cacheField name="[TblTransaksi].[Jenis Transaksi].[Jenis Transaksi]" caption="Jenis Transaksi" numFmtId="0" hierarchy="18" level="1">
      <sharedItems containsSemiMixedTypes="0" containsNonDate="0" containsString="0"/>
    </cacheField>
    <cacheField name="[Measures].[Jumlah dari Total Harga]" caption="Jumlah dari Total Harga" numFmtId="0" hierarchy="27" level="32767"/>
    <cacheField name="[TblStokAkhir].[Status].[Status]" caption="Status" numFmtId="0" hierarchy="14" level="1">
      <sharedItems containsSemiMixedTypes="0" containsNonDate="0" containsString="0"/>
    </cacheField>
  </cacheFields>
  <cacheHierarchies count="29">
    <cacheHierarchy uniqueName="[Table_Barang].[Kode Barang]" caption="Kode Barang" attribute="1" defaultMemberUniqueName="[Table_Barang].[Kode Barang].[All]" allUniqueName="[Table_Barang].[Kode Barang].[All]" dimensionUniqueName="[Table_Barang]" displayFolder="" count="2" memberValueDatatype="130" unbalanced="0"/>
    <cacheHierarchy uniqueName="[Table_Barang].[Nama Barang]" caption="Nama Barang" attribute="1" defaultMemberUniqueName="[Table_Barang].[Nama Barang].[All]" allUniqueName="[Table_Barang].[Nama Barang].[All]" dimensionUniqueName="[Table_Barang]" displayFolder="" count="2" memberValueDatatype="130" unbalanced="0"/>
    <cacheHierarchy uniqueName="[Table_Barang].[Kategori]" caption="Kategori" attribute="1" defaultMemberUniqueName="[Table_Barang].[Kategori].[All]" allUniqueName="[Table_Barang].[Kategori].[All]" dimensionUniqueName="[Table_Barang]" displayFolder="" count="2" memberValueDatatype="130" unbalanced="0">
      <fieldsUsage count="2">
        <fieldUsage x="-1"/>
        <fieldUsage x="0"/>
      </fieldsUsage>
    </cacheHierarchy>
    <cacheHierarchy uniqueName="[Table_Barang].[Satuan]" caption="Satuan" attribute="1" defaultMemberUniqueName="[Table_Barang].[Satuan].[All]" allUniqueName="[Table_Barang].[Satuan].[All]" dimensionUniqueName="[Table_Barang]" displayFolder="" count="2" memberValueDatatype="130" unbalanced="0"/>
    <cacheHierarchy uniqueName="[Table_Barang].[Harga Satuan]" caption="Harga Satuan" attribute="1" defaultMemberUniqueName="[Table_Barang].[Harga Satuan].[All]" allUniqueName="[Table_Barang].[Harga Satuan].[All]" dimensionUniqueName="[Table_Barang]" displayFolder="" count="2" memberValueDatatype="20" unbalanced="0"/>
    <cacheHierarchy uniqueName="[Table_Barang].[Stok Awal]" caption="Stok Awal" attribute="1" defaultMemberUniqueName="[Table_Barang].[Stok Awal].[All]" allUniqueName="[Table_Barang].[Stok Awal].[All]" dimensionUniqueName="[Table_Barang]" displayFolder="" count="2" memberValueDatatype="20" unbalanced="0"/>
    <cacheHierarchy uniqueName="[Table_Barang].[Stok Minimum]" caption="Stok Minimum" attribute="1" defaultMemberUniqueName="[Table_Barang].[Stok Minimum].[All]" allUniqueName="[Table_Barang].[Stok Minimum].[All]" dimensionUniqueName="[Table_Barang]" displayFolder="" count="2" memberValueDatatype="20" unbalanced="0"/>
    <cacheHierarchy uniqueName="[TblStokAkhir].[Kode Barang]" caption="Kode Barang" attribute="1" defaultMemberUniqueName="[TblStokAkhir].[Kode Barang].[All]" allUniqueName="[TblStokAkhir].[Kode Barang].[All]" dimensionUniqueName="[TblStokAkhir]" displayFolder="" count="2" memberValueDatatype="130" unbalanced="0"/>
    <cacheHierarchy uniqueName="[TblStokAkhir].[Nama barang]" caption="Nama barang" attribute="1" defaultMemberUniqueName="[TblStokAkhir].[Nama barang].[All]" allUniqueName="[TblStokAkhir].[Nama barang].[All]" dimensionUniqueName="[TblStokAkhir]" displayFolder="" count="2" memberValueDatatype="130" unbalanced="0"/>
    <cacheHierarchy uniqueName="[TblStokAkhir].[Total Masuk]" caption="Total Masuk" attribute="1" defaultMemberUniqueName="[TblStokAkhir].[Total Masuk].[All]" allUniqueName="[TblStokAkhir].[Total Masuk].[All]" dimensionUniqueName="[TblStokAkhir]" displayFolder="" count="2" memberValueDatatype="20" unbalanced="0"/>
    <cacheHierarchy uniqueName="[TblStokAkhir].[Total keluar]" caption="Total keluar" attribute="1" defaultMemberUniqueName="[TblStokAkhir].[Total keluar].[All]" allUniqueName="[TblStokAkhir].[Total keluar].[All]" dimensionUniqueName="[TblStokAkhir]" displayFolder="" count="2" memberValueDatatype="20" unbalanced="0"/>
    <cacheHierarchy uniqueName="[TblStokAkhir].[Stok Awal]" caption="Stok Awal" attribute="1" defaultMemberUniqueName="[TblStokAkhir].[Stok Awal].[All]" allUniqueName="[TblStokAkhir].[Stok Awal].[All]" dimensionUniqueName="[TblStokAkhir]" displayFolder="" count="2" memberValueDatatype="20" unbalanced="0"/>
    <cacheHierarchy uniqueName="[TblStokAkhir].[Stok Akhir]" caption="Stok Akhir" attribute="1" defaultMemberUniqueName="[TblStokAkhir].[Stok Akhir].[All]" allUniqueName="[TblStokAkhir].[Stok Akhir].[All]" dimensionUniqueName="[TblStokAkhir]" displayFolder="" count="2" memberValueDatatype="20" unbalanced="0"/>
    <cacheHierarchy uniqueName="[TblStokAkhir].[Stok Minimum]" caption="Stok Minimum" attribute="1" defaultMemberUniqueName="[TblStokAkhir].[Stok Minimum].[All]" allUniqueName="[TblStokAkhir].[Stok Minimum].[All]" dimensionUniqueName="[TblStokAkhir]" displayFolder="" count="2" memberValueDatatype="20" unbalanced="0"/>
    <cacheHierarchy uniqueName="[TblStokAkhir].[Status]" caption="Status" attribute="1" defaultMemberUniqueName="[TblStokAkhir].[Status].[All]" allUniqueName="[TblStokAkhir].[Status].[All]" dimensionUniqueName="[TblStokAkhir]" displayFolder="" count="2" memberValueDatatype="130" unbalanced="0">
      <fieldsUsage count="2">
        <fieldUsage x="-1"/>
        <fieldUsage x="3"/>
      </fieldsUsage>
    </cacheHierarchy>
    <cacheHierarchy uniqueName="[TblTransaksi].[Tanggal]" caption="Tanggal" attribute="1" defaultMemberUniqueName="[TblTransaksi].[Tanggal].[All]" allUniqueName="[TblTransaksi].[Tanggal].[All]" dimensionUniqueName="[TblTransaksi]" displayFolder="" count="2" memberValueDatatype="130" unbalanced="0"/>
    <cacheHierarchy uniqueName="[TblTransaksi].[Kode Barang]" caption="Kode Barang" attribute="1" defaultMemberUniqueName="[TblTransaksi].[Kode Barang].[All]" allUniqueName="[TblTransaksi].[Kode Barang].[All]" dimensionUniqueName="[TblTransaksi]" displayFolder="" count="2" memberValueDatatype="130" unbalanced="0"/>
    <cacheHierarchy uniqueName="[TblTransaksi].[Nama Barang]" caption="Nama Barang" attribute="1" defaultMemberUniqueName="[TblTransaksi].[Nama Barang].[All]" allUniqueName="[TblTransaksi].[Nama Barang].[All]" dimensionUniqueName="[TblTransaksi]" displayFolder="" count="2" memberValueDatatype="130" unbalanced="0"/>
    <cacheHierarchy uniqueName="[TblTransaksi].[Jenis Transaksi]" caption="Jenis Transaksi" attribute="1" defaultMemberUniqueName="[TblTransaksi].[Jenis Transaksi].[All]" allUniqueName="[TblTransaksi].[Jenis Transaksi].[All]" dimensionUniqueName="[TblTransaksi]" displayFolder="" count="2" memberValueDatatype="130" unbalanced="0">
      <fieldsUsage count="2">
        <fieldUsage x="-1"/>
        <fieldUsage x="1"/>
      </fieldsUsage>
    </cacheHierarchy>
    <cacheHierarchy uniqueName="[TblTransaksi].[Jumlah]" caption="Jumlah" attribute="1" defaultMemberUniqueName="[TblTransaksi].[Jumlah].[All]" allUniqueName="[TblTransaksi].[Jumlah].[All]" dimensionUniqueName="[TblTransaksi]" displayFolder="" count="2" memberValueDatatype="20" unbalanced="0"/>
    <cacheHierarchy uniqueName="[TblTransaksi].[Harga Satuan]" caption="Harga Satuan" attribute="1" defaultMemberUniqueName="[TblTransaksi].[Harga Satuan].[All]" allUniqueName="[TblTransaksi].[Harga Satuan].[All]" dimensionUniqueName="[TblTransaksi]" displayFolder="" count="2" memberValueDatatype="20" unbalanced="0"/>
    <cacheHierarchy uniqueName="[TblTransaksi].[Total Harga]" caption="Total Harga" attribute="1" defaultMemberUniqueName="[TblTransaksi].[Total Harga].[All]" allUniqueName="[TblTransaksi].[Total Harga].[All]" dimensionUniqueName="[TblTransaksi]" displayFolder="" count="2" memberValueDatatype="20" unbalanced="0"/>
    <cacheHierarchy uniqueName="[Measures].[__XL_Count Table_Barang]" caption="__XL_Count Table_Barang" measure="1" displayFolder="" measureGroup="Table_Barang" count="0" hidden="1"/>
    <cacheHierarchy uniqueName="[Measures].[__XL_Count TblTransaksi]" caption="__XL_Count TblTransaksi" measure="1" displayFolder="" measureGroup="TblTransaksi" count="0" hidden="1"/>
    <cacheHierarchy uniqueName="[Measures].[__XL_Count TblStokAkhir]" caption="__XL_Count TblStokAkhir" measure="1" displayFolder="" measureGroup="TblStokAkhir" count="0" hidden="1"/>
    <cacheHierarchy uniqueName="[Measures].[__No measures defined]" caption="__No measures defined" measure="1" displayFolder="" count="0" hidden="1"/>
    <cacheHierarchy uniqueName="[Measures].[Hitung dari Kode Barang]" caption="Hitung dari Kode Barang" measure="1" displayFolder="" measureGroup="Table_Barang" count="0" hidden="1">
      <extLst>
        <ext xmlns:x15="http://schemas.microsoft.com/office/spreadsheetml/2010/11/main" uri="{B97F6D7D-B522-45F9-BDA1-12C45D357490}">
          <x15:cacheHierarchy aggregatedColumn="0"/>
        </ext>
      </extLst>
    </cacheHierarchy>
    <cacheHierarchy uniqueName="[Measures].[Jumlah dari Total Harga]" caption="Jumlah dari Total Harga" measure="1" displayFolder="" measureGroup="TblTransaksi" count="0" oneField="1" hidden="1">
      <fieldsUsage count="1">
        <fieldUsage x="2"/>
      </fieldsUsage>
      <extLst>
        <ext xmlns:x15="http://schemas.microsoft.com/office/spreadsheetml/2010/11/main" uri="{B97F6D7D-B522-45F9-BDA1-12C45D357490}">
          <x15:cacheHierarchy aggregatedColumn="21"/>
        </ext>
      </extLst>
    </cacheHierarchy>
    <cacheHierarchy uniqueName="[Measures].[Count of Kode Barang]" caption="Count of Kode Barang" measure="1" displayFolder="" measureGroup="TblStokAkhir" count="0" hidden="1">
      <extLst>
        <ext xmlns:x15="http://schemas.microsoft.com/office/spreadsheetml/2010/11/main" uri="{B97F6D7D-B522-45F9-BDA1-12C45D357490}">
          <x15:cacheHierarchy aggregatedColumn="7"/>
        </ext>
      </extLst>
    </cacheHierarchy>
  </cacheHierarchies>
  <kpis count="0"/>
  <dimensions count="4">
    <dimension measure="1" name="Measures" uniqueName="[Measures]" caption="Measures"/>
    <dimension name="Table_Barang" uniqueName="[Table_Barang]" caption="Table_Barang"/>
    <dimension name="TblStokAkhir" uniqueName="[TblStokAkhir]" caption="TblStokAkhir"/>
    <dimension name="TblTransaksi" uniqueName="[TblTransaksi]" caption="TblTransaksi"/>
  </dimensions>
  <measureGroups count="3">
    <measureGroup name="Table_Barang" caption="Table_Barang"/>
    <measureGroup name="TblStokAkhir" caption="TblStokAkhir"/>
    <measureGroup name="TblTransaksi" caption="TblTransaksi"/>
  </measureGroups>
  <maps count="5">
    <map measureGroup="0" dimension="1"/>
    <map measureGroup="1" dimension="1"/>
    <map measureGroup="1" dimension="2"/>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hammad Alvian Alpharomeo" refreshedDate="45997.416315740738" backgroundQuery="1" createdVersion="3" refreshedVersion="7" minRefreshableVersion="3" recordCount="0" supportSubquery="1" supportAdvancedDrill="1" xr:uid="{8FC00A09-2169-46C0-AE01-FEADACEEF3B1}">
  <cacheSource type="external" connectionId="1">
    <extLst>
      <ext xmlns:x14="http://schemas.microsoft.com/office/spreadsheetml/2009/9/main" uri="{F057638F-6D5F-4e77-A914-E7F072B9BCA8}">
        <x14:sourceConnection name="ThisWorkbookDataModel"/>
      </ext>
    </extLst>
  </cacheSource>
  <cacheFields count="0"/>
  <cacheHierarchies count="29">
    <cacheHierarchy uniqueName="[Table_Barang].[Kode Barang]" caption="Kode Barang" attribute="1" defaultMemberUniqueName="[Table_Barang].[Kode Barang].[All]" allUniqueName="[Table_Barang].[Kode Barang].[All]" dimensionUniqueName="[Table_Barang]" displayFolder="" count="0" memberValueDatatype="130" unbalanced="0"/>
    <cacheHierarchy uniqueName="[Table_Barang].[Nama Barang]" caption="Nama Barang" attribute="1" defaultMemberUniqueName="[Table_Barang].[Nama Barang].[All]" allUniqueName="[Table_Barang].[Nama Barang].[All]" dimensionUniqueName="[Table_Barang]" displayFolder="" count="0" memberValueDatatype="130" unbalanced="0"/>
    <cacheHierarchy uniqueName="[Table_Barang].[Kategori]" caption="Kategori" attribute="1" defaultMemberUniqueName="[Table_Barang].[Kategori].[All]" allUniqueName="[Table_Barang].[Kategori].[All]" dimensionUniqueName="[Table_Barang]" displayFolder="" count="2" memberValueDatatype="130" unbalanced="0"/>
    <cacheHierarchy uniqueName="[Table_Barang].[Satuan]" caption="Satuan" attribute="1" defaultMemberUniqueName="[Table_Barang].[Satuan].[All]" allUniqueName="[Table_Barang].[Satuan].[All]" dimensionUniqueName="[Table_Barang]" displayFolder="" count="0" memberValueDatatype="130" unbalanced="0"/>
    <cacheHierarchy uniqueName="[Table_Barang].[Harga Satuan]" caption="Harga Satuan" attribute="1" defaultMemberUniqueName="[Table_Barang].[Harga Satuan].[All]" allUniqueName="[Table_Barang].[Harga Satuan].[All]" dimensionUniqueName="[Table_Barang]" displayFolder="" count="0" memberValueDatatype="20" unbalanced="0"/>
    <cacheHierarchy uniqueName="[Table_Barang].[Stok Awal]" caption="Stok Awal" attribute="1" defaultMemberUniqueName="[Table_Barang].[Stok Awal].[All]" allUniqueName="[Table_Barang].[Stok Awal].[All]" dimensionUniqueName="[Table_Barang]" displayFolder="" count="0" memberValueDatatype="20" unbalanced="0"/>
    <cacheHierarchy uniqueName="[Table_Barang].[Stok Minimum]" caption="Stok Minimum" attribute="1" defaultMemberUniqueName="[Table_Barang].[Stok Minimum].[All]" allUniqueName="[Table_Barang].[Stok Minimum].[All]" dimensionUniqueName="[Table_Barang]" displayFolder="" count="0" memberValueDatatype="20" unbalanced="0"/>
    <cacheHierarchy uniqueName="[TblStokAkhir].[Kode Barang]" caption="Kode Barang" attribute="1" defaultMemberUniqueName="[TblStokAkhir].[Kode Barang].[All]" allUniqueName="[TblStokAkhir].[Kode Barang].[All]" dimensionUniqueName="[TblStokAkhir]" displayFolder="" count="0" memberValueDatatype="130" unbalanced="0"/>
    <cacheHierarchy uniqueName="[TblStokAkhir].[Nama barang]" caption="Nama barang" attribute="1" defaultMemberUniqueName="[TblStokAkhir].[Nama barang].[All]" allUniqueName="[TblStokAkhir].[Nama barang].[All]" dimensionUniqueName="[TblStokAkhir]" displayFolder="" count="0" memberValueDatatype="130" unbalanced="0"/>
    <cacheHierarchy uniqueName="[TblStokAkhir].[Total Masuk]" caption="Total Masuk" attribute="1" defaultMemberUniqueName="[TblStokAkhir].[Total Masuk].[All]" allUniqueName="[TblStokAkhir].[Total Masuk].[All]" dimensionUniqueName="[TblStokAkhir]" displayFolder="" count="0" memberValueDatatype="20" unbalanced="0"/>
    <cacheHierarchy uniqueName="[TblStokAkhir].[Total keluar]" caption="Total keluar" attribute="1" defaultMemberUniqueName="[TblStokAkhir].[Total keluar].[All]" allUniqueName="[TblStokAkhir].[Total keluar].[All]" dimensionUniqueName="[TblStokAkhir]" displayFolder="" count="0" memberValueDatatype="20" unbalanced="0"/>
    <cacheHierarchy uniqueName="[TblStokAkhir].[Stok Awal]" caption="Stok Awal" attribute="1" defaultMemberUniqueName="[TblStokAkhir].[Stok Awal].[All]" allUniqueName="[TblStokAkhir].[Stok Awal].[All]" dimensionUniqueName="[TblStokAkhir]" displayFolder="" count="0" memberValueDatatype="20" unbalanced="0"/>
    <cacheHierarchy uniqueName="[TblStokAkhir].[Stok Akhir]" caption="Stok Akhir" attribute="1" defaultMemberUniqueName="[TblStokAkhir].[Stok Akhir].[All]" allUniqueName="[TblStokAkhir].[Stok Akhir].[All]" dimensionUniqueName="[TblStokAkhir]" displayFolder="" count="0" memberValueDatatype="20" unbalanced="0"/>
    <cacheHierarchy uniqueName="[TblStokAkhir].[Stok Minimum]" caption="Stok Minimum" attribute="1" defaultMemberUniqueName="[TblStokAkhir].[Stok Minimum].[All]" allUniqueName="[TblStokAkhir].[Stok Minimum].[All]" dimensionUniqueName="[TblStokAkhir]" displayFolder="" count="0" memberValueDatatype="20" unbalanced="0"/>
    <cacheHierarchy uniqueName="[TblStokAkhir].[Status]" caption="Status" attribute="1" defaultMemberUniqueName="[TblStokAkhir].[Status].[All]" allUniqueName="[TblStokAkhir].[Status].[All]" dimensionUniqueName="[TblStokAkhir]" displayFolder="" count="2" memberValueDatatype="130" unbalanced="0"/>
    <cacheHierarchy uniqueName="[TblTransaksi].[Tanggal]" caption="Tanggal" attribute="1" defaultMemberUniqueName="[TblTransaksi].[Tanggal].[All]" allUniqueName="[TblTransaksi].[Tanggal].[All]" dimensionUniqueName="[TblTransaksi]" displayFolder="" count="0" memberValueDatatype="130" unbalanced="0"/>
    <cacheHierarchy uniqueName="[TblTransaksi].[Kode Barang]" caption="Kode Barang" attribute="1" defaultMemberUniqueName="[TblTransaksi].[Kode Barang].[All]" allUniqueName="[TblTransaksi].[Kode Barang].[All]" dimensionUniqueName="[TblTransaksi]" displayFolder="" count="0" memberValueDatatype="130" unbalanced="0"/>
    <cacheHierarchy uniqueName="[TblTransaksi].[Nama Barang]" caption="Nama Barang" attribute="1" defaultMemberUniqueName="[TblTransaksi].[Nama Barang].[All]" allUniqueName="[TblTransaksi].[Nama Barang].[All]" dimensionUniqueName="[TblTransaksi]" displayFolder="" count="0" memberValueDatatype="130" unbalanced="0"/>
    <cacheHierarchy uniqueName="[TblTransaksi].[Jenis Transaksi]" caption="Jenis Transaksi" attribute="1" defaultMemberUniqueName="[TblTransaksi].[Jenis Transaksi].[All]" allUniqueName="[TblTransaksi].[Jenis Transaksi].[All]" dimensionUniqueName="[TblTransaksi]" displayFolder="" count="2" memberValueDatatype="130" unbalanced="0"/>
    <cacheHierarchy uniqueName="[TblTransaksi].[Jumlah]" caption="Jumlah" attribute="1" defaultMemberUniqueName="[TblTransaksi].[Jumlah].[All]" allUniqueName="[TblTransaksi].[Jumlah].[All]" dimensionUniqueName="[TblTransaksi]" displayFolder="" count="0" memberValueDatatype="20" unbalanced="0"/>
    <cacheHierarchy uniqueName="[TblTransaksi].[Harga Satuan]" caption="Harga Satuan" attribute="1" defaultMemberUniqueName="[TblTransaksi].[Harga Satuan].[All]" allUniqueName="[TblTransaksi].[Harga Satuan].[All]" dimensionUniqueName="[TblTransaksi]" displayFolder="" count="0" memberValueDatatype="20" unbalanced="0"/>
    <cacheHierarchy uniqueName="[TblTransaksi].[Total Harga]" caption="Total Harga" attribute="1" defaultMemberUniqueName="[TblTransaksi].[Total Harga].[All]" allUniqueName="[TblTransaksi].[Total Harga].[All]" dimensionUniqueName="[TblTransaksi]" displayFolder="" count="0" memberValueDatatype="20" unbalanced="0"/>
    <cacheHierarchy uniqueName="[Measures].[__XL_Count Table_Barang]" caption="__XL_Count Table_Barang" measure="1" displayFolder="" measureGroup="Table_Barang" count="0" hidden="1"/>
    <cacheHierarchy uniqueName="[Measures].[__XL_Count TblTransaksi]" caption="__XL_Count TblTransaksi" measure="1" displayFolder="" measureGroup="TblTransaksi" count="0" hidden="1"/>
    <cacheHierarchy uniqueName="[Measures].[__XL_Count TblStokAkhir]" caption="__XL_Count TblStokAkhir" measure="1" displayFolder="" measureGroup="TblStokAkhir" count="0" hidden="1"/>
    <cacheHierarchy uniqueName="[Measures].[__No measures defined]" caption="__No measures defined" measure="1" displayFolder="" count="0" hidden="1"/>
    <cacheHierarchy uniqueName="[Measures].[Hitung dari Kode Barang]" caption="Hitung dari Kode Barang" measure="1" displayFolder="" measureGroup="Table_Barang" count="0" hidden="1">
      <extLst>
        <ext xmlns:x15="http://schemas.microsoft.com/office/spreadsheetml/2010/11/main" uri="{B97F6D7D-B522-45F9-BDA1-12C45D357490}">
          <x15:cacheHierarchy aggregatedColumn="0"/>
        </ext>
      </extLst>
    </cacheHierarchy>
    <cacheHierarchy uniqueName="[Measures].[Jumlah dari Total Harga]" caption="Jumlah dari Total Harga" measure="1" displayFolder="" measureGroup="TblTransaksi" count="0" hidden="1">
      <extLst>
        <ext xmlns:x15="http://schemas.microsoft.com/office/spreadsheetml/2010/11/main" uri="{B97F6D7D-B522-45F9-BDA1-12C45D357490}">
          <x15:cacheHierarchy aggregatedColumn="21"/>
        </ext>
      </extLst>
    </cacheHierarchy>
    <cacheHierarchy uniqueName="[Measures].[Count of Kode Barang]" caption="Count of Kode Barang" measure="1" displayFolder="" measureGroup="TblStokAkhir"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978444734"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x v="0"/>
    <x v="0"/>
    <x v="0"/>
    <x v="0"/>
    <x v="0"/>
    <x v="0"/>
  </r>
  <r>
    <x v="0"/>
    <x v="1"/>
    <x v="1"/>
    <x v="0"/>
    <x v="1"/>
    <x v="1"/>
    <x v="1"/>
  </r>
  <r>
    <x v="0"/>
    <x v="2"/>
    <x v="2"/>
    <x v="0"/>
    <x v="2"/>
    <x v="2"/>
    <x v="2"/>
  </r>
  <r>
    <x v="0"/>
    <x v="3"/>
    <x v="3"/>
    <x v="1"/>
    <x v="3"/>
    <x v="3"/>
    <x v="3"/>
  </r>
  <r>
    <x v="0"/>
    <x v="4"/>
    <x v="4"/>
    <x v="0"/>
    <x v="4"/>
    <x v="4"/>
    <x v="4"/>
  </r>
  <r>
    <x v="0"/>
    <x v="5"/>
    <x v="5"/>
    <x v="1"/>
    <x v="5"/>
    <x v="5"/>
    <x v="5"/>
  </r>
  <r>
    <x v="0"/>
    <x v="6"/>
    <x v="6"/>
    <x v="1"/>
    <x v="6"/>
    <x v="6"/>
    <x v="6"/>
  </r>
  <r>
    <x v="0"/>
    <x v="7"/>
    <x v="7"/>
    <x v="1"/>
    <x v="7"/>
    <x v="7"/>
    <x v="7"/>
  </r>
  <r>
    <x v="0"/>
    <x v="8"/>
    <x v="8"/>
    <x v="0"/>
    <x v="8"/>
    <x v="8"/>
    <x v="8"/>
  </r>
  <r>
    <x v="0"/>
    <x v="9"/>
    <x v="9"/>
    <x v="1"/>
    <x v="3"/>
    <x v="9"/>
    <x v="9"/>
  </r>
  <r>
    <x v="0"/>
    <x v="10"/>
    <x v="10"/>
    <x v="0"/>
    <x v="9"/>
    <x v="10"/>
    <x v="10"/>
  </r>
  <r>
    <x v="0"/>
    <x v="11"/>
    <x v="11"/>
    <x v="0"/>
    <x v="10"/>
    <x v="11"/>
    <x v="11"/>
  </r>
  <r>
    <x v="0"/>
    <x v="12"/>
    <x v="12"/>
    <x v="1"/>
    <x v="11"/>
    <x v="12"/>
    <x v="12"/>
  </r>
  <r>
    <x v="0"/>
    <x v="13"/>
    <x v="13"/>
    <x v="0"/>
    <x v="12"/>
    <x v="13"/>
    <x v="13"/>
  </r>
  <r>
    <x v="0"/>
    <x v="14"/>
    <x v="14"/>
    <x v="1"/>
    <x v="3"/>
    <x v="14"/>
    <x v="14"/>
  </r>
  <r>
    <x v="0"/>
    <x v="15"/>
    <x v="15"/>
    <x v="1"/>
    <x v="0"/>
    <x v="15"/>
    <x v="15"/>
  </r>
  <r>
    <x v="0"/>
    <x v="16"/>
    <x v="16"/>
    <x v="1"/>
    <x v="10"/>
    <x v="16"/>
    <x v="16"/>
  </r>
  <r>
    <x v="0"/>
    <x v="17"/>
    <x v="17"/>
    <x v="0"/>
    <x v="4"/>
    <x v="17"/>
    <x v="17"/>
  </r>
  <r>
    <x v="0"/>
    <x v="18"/>
    <x v="18"/>
    <x v="1"/>
    <x v="13"/>
    <x v="18"/>
    <x v="18"/>
  </r>
  <r>
    <x v="0"/>
    <x v="19"/>
    <x v="19"/>
    <x v="1"/>
    <x v="0"/>
    <x v="19"/>
    <x v="19"/>
  </r>
  <r>
    <x v="0"/>
    <x v="20"/>
    <x v="20"/>
    <x v="0"/>
    <x v="14"/>
    <x v="20"/>
    <x v="20"/>
  </r>
  <r>
    <x v="0"/>
    <x v="21"/>
    <x v="21"/>
    <x v="0"/>
    <x v="15"/>
    <x v="21"/>
    <x v="21"/>
  </r>
  <r>
    <x v="0"/>
    <x v="22"/>
    <x v="7"/>
    <x v="0"/>
    <x v="16"/>
    <x v="22"/>
    <x v="22"/>
  </r>
  <r>
    <x v="0"/>
    <x v="23"/>
    <x v="22"/>
    <x v="0"/>
    <x v="17"/>
    <x v="23"/>
    <x v="23"/>
  </r>
  <r>
    <x v="0"/>
    <x v="24"/>
    <x v="23"/>
    <x v="0"/>
    <x v="18"/>
    <x v="24"/>
    <x v="24"/>
  </r>
  <r>
    <x v="0"/>
    <x v="25"/>
    <x v="24"/>
    <x v="0"/>
    <x v="5"/>
    <x v="25"/>
    <x v="25"/>
  </r>
  <r>
    <x v="0"/>
    <x v="26"/>
    <x v="25"/>
    <x v="0"/>
    <x v="11"/>
    <x v="26"/>
    <x v="26"/>
  </r>
  <r>
    <x v="0"/>
    <x v="27"/>
    <x v="26"/>
    <x v="1"/>
    <x v="19"/>
    <x v="27"/>
    <x v="27"/>
  </r>
  <r>
    <x v="0"/>
    <x v="28"/>
    <x v="14"/>
    <x v="1"/>
    <x v="0"/>
    <x v="28"/>
    <x v="28"/>
  </r>
  <r>
    <x v="0"/>
    <x v="29"/>
    <x v="27"/>
    <x v="1"/>
    <x v="4"/>
    <x v="29"/>
    <x v="29"/>
  </r>
  <r>
    <x v="0"/>
    <x v="30"/>
    <x v="1"/>
    <x v="1"/>
    <x v="18"/>
    <x v="30"/>
    <x v="30"/>
  </r>
  <r>
    <x v="0"/>
    <x v="2"/>
    <x v="2"/>
    <x v="1"/>
    <x v="20"/>
    <x v="2"/>
    <x v="31"/>
  </r>
  <r>
    <x v="0"/>
    <x v="31"/>
    <x v="28"/>
    <x v="0"/>
    <x v="21"/>
    <x v="0"/>
    <x v="32"/>
  </r>
  <r>
    <x v="0"/>
    <x v="32"/>
    <x v="29"/>
    <x v="1"/>
    <x v="11"/>
    <x v="31"/>
    <x v="33"/>
  </r>
  <r>
    <x v="0"/>
    <x v="33"/>
    <x v="7"/>
    <x v="1"/>
    <x v="22"/>
    <x v="32"/>
    <x v="34"/>
  </r>
  <r>
    <x v="0"/>
    <x v="34"/>
    <x v="30"/>
    <x v="0"/>
    <x v="23"/>
    <x v="33"/>
    <x v="35"/>
  </r>
  <r>
    <x v="0"/>
    <x v="35"/>
    <x v="5"/>
    <x v="0"/>
    <x v="24"/>
    <x v="34"/>
    <x v="36"/>
  </r>
  <r>
    <x v="0"/>
    <x v="5"/>
    <x v="5"/>
    <x v="1"/>
    <x v="25"/>
    <x v="5"/>
    <x v="37"/>
  </r>
  <r>
    <x v="0"/>
    <x v="15"/>
    <x v="15"/>
    <x v="1"/>
    <x v="26"/>
    <x v="15"/>
    <x v="38"/>
  </r>
  <r>
    <x v="0"/>
    <x v="18"/>
    <x v="18"/>
    <x v="0"/>
    <x v="27"/>
    <x v="18"/>
    <x v="39"/>
  </r>
  <r>
    <x v="0"/>
    <x v="36"/>
    <x v="31"/>
    <x v="1"/>
    <x v="28"/>
    <x v="35"/>
    <x v="40"/>
  </r>
  <r>
    <x v="0"/>
    <x v="37"/>
    <x v="9"/>
    <x v="0"/>
    <x v="29"/>
    <x v="36"/>
    <x v="41"/>
  </r>
  <r>
    <x v="0"/>
    <x v="38"/>
    <x v="4"/>
    <x v="1"/>
    <x v="12"/>
    <x v="37"/>
    <x v="42"/>
  </r>
  <r>
    <x v="0"/>
    <x v="39"/>
    <x v="32"/>
    <x v="1"/>
    <x v="30"/>
    <x v="38"/>
    <x v="43"/>
  </r>
  <r>
    <x v="0"/>
    <x v="40"/>
    <x v="14"/>
    <x v="0"/>
    <x v="31"/>
    <x v="39"/>
    <x v="44"/>
  </r>
  <r>
    <x v="0"/>
    <x v="41"/>
    <x v="33"/>
    <x v="1"/>
    <x v="32"/>
    <x v="40"/>
    <x v="45"/>
  </r>
  <r>
    <x v="0"/>
    <x v="42"/>
    <x v="18"/>
    <x v="1"/>
    <x v="33"/>
    <x v="41"/>
    <x v="46"/>
  </r>
  <r>
    <x v="0"/>
    <x v="27"/>
    <x v="26"/>
    <x v="0"/>
    <x v="34"/>
    <x v="27"/>
    <x v="47"/>
  </r>
  <r>
    <x v="0"/>
    <x v="43"/>
    <x v="23"/>
    <x v="0"/>
    <x v="25"/>
    <x v="42"/>
    <x v="48"/>
  </r>
  <r>
    <x v="0"/>
    <x v="42"/>
    <x v="18"/>
    <x v="0"/>
    <x v="35"/>
    <x v="41"/>
    <x v="49"/>
  </r>
  <r>
    <x v="0"/>
    <x v="44"/>
    <x v="34"/>
    <x v="0"/>
    <x v="36"/>
    <x v="43"/>
    <x v="50"/>
  </r>
  <r>
    <x v="0"/>
    <x v="45"/>
    <x v="7"/>
    <x v="1"/>
    <x v="37"/>
    <x v="44"/>
    <x v="51"/>
  </r>
  <r>
    <x v="0"/>
    <x v="46"/>
    <x v="26"/>
    <x v="0"/>
    <x v="38"/>
    <x v="45"/>
    <x v="52"/>
  </r>
  <r>
    <x v="0"/>
    <x v="47"/>
    <x v="35"/>
    <x v="0"/>
    <x v="0"/>
    <x v="46"/>
    <x v="53"/>
  </r>
  <r>
    <x v="0"/>
    <x v="7"/>
    <x v="7"/>
    <x v="0"/>
    <x v="39"/>
    <x v="7"/>
    <x v="54"/>
  </r>
  <r>
    <x v="0"/>
    <x v="48"/>
    <x v="36"/>
    <x v="0"/>
    <x v="40"/>
    <x v="47"/>
    <x v="55"/>
  </r>
  <r>
    <x v="0"/>
    <x v="49"/>
    <x v="37"/>
    <x v="0"/>
    <x v="41"/>
    <x v="48"/>
    <x v="56"/>
  </r>
  <r>
    <x v="0"/>
    <x v="50"/>
    <x v="24"/>
    <x v="0"/>
    <x v="42"/>
    <x v="49"/>
    <x v="57"/>
  </r>
  <r>
    <x v="0"/>
    <x v="51"/>
    <x v="38"/>
    <x v="0"/>
    <x v="43"/>
    <x v="21"/>
    <x v="58"/>
  </r>
  <r>
    <x v="0"/>
    <x v="52"/>
    <x v="37"/>
    <x v="0"/>
    <x v="44"/>
    <x v="50"/>
    <x v="59"/>
  </r>
  <r>
    <x v="0"/>
    <x v="53"/>
    <x v="39"/>
    <x v="1"/>
    <x v="38"/>
    <x v="51"/>
    <x v="60"/>
  </r>
  <r>
    <x v="0"/>
    <x v="54"/>
    <x v="40"/>
    <x v="1"/>
    <x v="45"/>
    <x v="52"/>
    <x v="61"/>
  </r>
  <r>
    <x v="0"/>
    <x v="2"/>
    <x v="2"/>
    <x v="0"/>
    <x v="46"/>
    <x v="2"/>
    <x v="62"/>
  </r>
  <r>
    <x v="0"/>
    <x v="55"/>
    <x v="17"/>
    <x v="0"/>
    <x v="47"/>
    <x v="53"/>
    <x v="63"/>
  </r>
  <r>
    <x v="0"/>
    <x v="56"/>
    <x v="41"/>
    <x v="0"/>
    <x v="48"/>
    <x v="54"/>
    <x v="64"/>
  </r>
  <r>
    <x v="0"/>
    <x v="57"/>
    <x v="42"/>
    <x v="1"/>
    <x v="49"/>
    <x v="55"/>
    <x v="65"/>
  </r>
  <r>
    <x v="0"/>
    <x v="58"/>
    <x v="43"/>
    <x v="1"/>
    <x v="50"/>
    <x v="56"/>
    <x v="66"/>
  </r>
  <r>
    <x v="0"/>
    <x v="59"/>
    <x v="44"/>
    <x v="1"/>
    <x v="1"/>
    <x v="57"/>
    <x v="67"/>
  </r>
  <r>
    <x v="0"/>
    <x v="49"/>
    <x v="37"/>
    <x v="0"/>
    <x v="51"/>
    <x v="48"/>
    <x v="68"/>
  </r>
  <r>
    <x v="0"/>
    <x v="60"/>
    <x v="20"/>
    <x v="1"/>
    <x v="52"/>
    <x v="58"/>
    <x v="6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CFE9D8B-84CC-41CC-95AD-D4B79203B747}" name="PivotTable2" cacheId="4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Q3:R10" firstHeaderRow="1" firstDataRow="1" firstDataCol="1" rowPageCount="1" colPageCount="1"/>
  <pivotFields count="4">
    <pivotField axis="axisRow" allDrilled="1" subtotalTop="0" showAll="0" dataSourceSort="1" defaultSubtotal="0" defaultAttributeDrillState="1">
      <items count="6">
        <item x="0"/>
        <item x="1"/>
        <item x="2"/>
        <item x="3"/>
        <item x="4"/>
        <item x="5"/>
      </items>
    </pivotField>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pageFields count="1">
    <pageField fld="1" hier="18" name="[TblTransaksi].[Jenis Transaksi].[All]" cap="All"/>
  </pageFields>
  <dataFields count="1">
    <dataField name="Sum of Total Harga" fld="2" showDataAs="percentOfTotal" baseField="0" baseItem="0" numFmtId="10"/>
  </dataFields>
  <chartFormats count="7">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0"/>
          </reference>
        </references>
      </pivotArea>
    </chartFormat>
    <chartFormat chart="3" format="10">
      <pivotArea type="data" outline="0" fieldPosition="0">
        <references count="2">
          <reference field="4294967294" count="1" selected="0">
            <x v="0"/>
          </reference>
          <reference field="0" count="1" selected="0">
            <x v="1"/>
          </reference>
        </references>
      </pivotArea>
    </chartFormat>
    <chartFormat chart="3" format="11">
      <pivotArea type="data" outline="0" fieldPosition="0">
        <references count="2">
          <reference field="4294967294" count="1" selected="0">
            <x v="0"/>
          </reference>
          <reference field="0" count="1" selected="0">
            <x v="2"/>
          </reference>
        </references>
      </pivotArea>
    </chartFormat>
    <chartFormat chart="3" format="12">
      <pivotArea type="data" outline="0" fieldPosition="0">
        <references count="2">
          <reference field="4294967294" count="1" selected="0">
            <x v="0"/>
          </reference>
          <reference field="0" count="1" selected="0">
            <x v="3"/>
          </reference>
        </references>
      </pivotArea>
    </chartFormat>
    <chartFormat chart="3" format="13">
      <pivotArea type="data" outline="0" fieldPosition="0">
        <references count="2">
          <reference field="4294967294" count="1" selected="0">
            <x v="0"/>
          </reference>
          <reference field="0" count="1" selected="0">
            <x v="4"/>
          </reference>
        </references>
      </pivotArea>
    </chartFormat>
    <chartFormat chart="3" format="14">
      <pivotArea type="data" outline="0" fieldPosition="0">
        <references count="2">
          <reference field="4294967294" count="1" selected="0">
            <x v="0"/>
          </reference>
          <reference field="0" count="1" selected="0">
            <x v="5"/>
          </reference>
        </references>
      </pivotArea>
    </chartFormat>
  </chartFormats>
  <pivotHierarchies count="29">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ransaksi]"/>
        <x15:activeTabTopLevelEntity name="[Table_Barang]"/>
        <x15:activeTabTopLevelEntity name="[TblStokAkhi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A407BE-87EB-4853-AA6E-66F69A74D866}" name="PivotTable5" cacheId="0" applyNumberFormats="0" applyBorderFormats="0" applyFontFormats="0" applyPatternFormats="0" applyAlignmentFormats="0" applyWidthHeightFormats="1" dataCaption="Nilai" updatedVersion="7" minRefreshableVersion="3" useAutoFormatting="1" itemPrintTitles="1" createdVersion="8" indent="0" outline="1" outlineData="1" multipleFieldFilters="0" chartFormat="25">
  <location ref="X4:Y15" firstHeaderRow="1" firstDataRow="1" firstDataCol="1" rowPageCount="1" colPageCount="1"/>
  <pivotFields count="7">
    <pivotField showAll="0">
      <items count="2">
        <item x="0"/>
        <item t="default"/>
      </items>
    </pivotField>
    <pivotField showAll="0"/>
    <pivotField axis="axisRow" showAll="0" measureFilter="1" sortType="descending">
      <items count="46">
        <item x="27"/>
        <item x="38"/>
        <item x="19"/>
        <item x="1"/>
        <item x="14"/>
        <item x="10"/>
        <item x="8"/>
        <item x="26"/>
        <item x="39"/>
        <item x="2"/>
        <item x="32"/>
        <item x="18"/>
        <item x="25"/>
        <item x="23"/>
        <item x="36"/>
        <item x="29"/>
        <item x="17"/>
        <item x="22"/>
        <item x="43"/>
        <item x="41"/>
        <item x="6"/>
        <item x="13"/>
        <item x="35"/>
        <item x="24"/>
        <item x="0"/>
        <item x="28"/>
        <item x="16"/>
        <item x="44"/>
        <item x="7"/>
        <item x="30"/>
        <item x="12"/>
        <item x="15"/>
        <item x="9"/>
        <item x="34"/>
        <item x="4"/>
        <item x="21"/>
        <item x="40"/>
        <item x="5"/>
        <item x="20"/>
        <item x="11"/>
        <item x="33"/>
        <item x="42"/>
        <item x="3"/>
        <item x="37"/>
        <item x="31"/>
        <item t="default"/>
      </items>
      <autoSortScope>
        <pivotArea dataOnly="0" outline="0" fieldPosition="0">
          <references count="1">
            <reference field="4294967294" count="1" selected="0">
              <x v="0"/>
            </reference>
          </references>
        </pivotArea>
      </autoSortScope>
    </pivotField>
    <pivotField axis="axisPage" showAll="0">
      <items count="3">
        <item x="1"/>
        <item x="0"/>
        <item t="default"/>
      </items>
    </pivotField>
    <pivotField dataField="1" showAll="0"/>
    <pivotField numFmtId="44" showAll="0"/>
    <pivotField numFmtId="44" showAll="0"/>
  </pivotFields>
  <rowFields count="1">
    <field x="2"/>
  </rowFields>
  <rowItems count="11">
    <i>
      <x v="41"/>
    </i>
    <i>
      <x v="9"/>
    </i>
    <i>
      <x v="36"/>
    </i>
    <i>
      <x v="18"/>
    </i>
    <i>
      <x v="28"/>
    </i>
    <i>
      <x v="26"/>
    </i>
    <i>
      <x v="11"/>
    </i>
    <i>
      <x v="31"/>
    </i>
    <i>
      <x v="7"/>
    </i>
    <i>
      <x v="38"/>
    </i>
    <i t="grand">
      <x/>
    </i>
  </rowItems>
  <colItems count="1">
    <i/>
  </colItems>
  <pageFields count="1">
    <pageField fld="3" item="0" hier="-1"/>
  </pageFields>
  <dataFields count="1">
    <dataField name="Jumlah dari Jumlah" fld="4" baseField="0" baseItem="0"/>
  </dataFields>
  <chartFormats count="2">
    <chartFormat chart="15" format="2" series="1">
      <pivotArea type="data" outline="0" fieldPosition="0">
        <references count="1">
          <reference field="4294967294" count="1" selected="0">
            <x v="0"/>
          </reference>
        </references>
      </pivotArea>
    </chartFormat>
    <chartFormat chart="15" format="3">
      <pivotArea type="data" outline="0" fieldPosition="0">
        <references count="2">
          <reference field="4294967294" count="1" selected="0">
            <x v="0"/>
          </reference>
          <reference field="2" count="1" selected="0">
            <x v="9"/>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5D7EE1-3A94-4EDF-BD31-7A716DDFFAD7}" name="PivotTable4" cacheId="4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9">
  <location ref="AA1:AE9" firstHeaderRow="1" firstDataRow="2" firstDataCol="1"/>
  <pivotFields count="4">
    <pivotField dataField="1" subtotalTop="0" showAll="0" defaultSubtotal="0"/>
    <pivotField axis="axisCol" allDrilled="1" subtotalTop="0" showAll="0" dataSourceSort="1" defaultSubtotal="0" defaultAttributeDrillState="1">
      <items count="3">
        <item x="0"/>
        <item x="1"/>
        <item x="2"/>
      </items>
    </pivotField>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2"/>
  </rowFields>
  <rowItems count="7">
    <i>
      <x/>
    </i>
    <i>
      <x v="1"/>
    </i>
    <i>
      <x v="2"/>
    </i>
    <i>
      <x v="3"/>
    </i>
    <i>
      <x v="4"/>
    </i>
    <i>
      <x v="5"/>
    </i>
    <i t="grand">
      <x/>
    </i>
  </rowItems>
  <colFields count="1">
    <field x="1"/>
  </colFields>
  <colItems count="4">
    <i>
      <x/>
    </i>
    <i>
      <x v="1"/>
    </i>
    <i>
      <x v="2"/>
    </i>
    <i t="grand">
      <x/>
    </i>
  </colItems>
  <dataFields count="1">
    <dataField name="Count of Kode Barang" fld="0" subtotal="count" baseField="0" baseItem="0"/>
  </dataFields>
  <chartFormats count="3">
    <chartFormat chart="3" format="6" series="1">
      <pivotArea type="data" outline="0" fieldPosition="0">
        <references count="2">
          <reference field="4294967294" count="1" selected="0">
            <x v="0"/>
          </reference>
          <reference field="1" count="1" selected="0">
            <x v="0"/>
          </reference>
        </references>
      </pivotArea>
    </chartFormat>
    <chartFormat chart="3" format="7" series="1">
      <pivotArea type="data" outline="0" fieldPosition="0">
        <references count="2">
          <reference field="4294967294" count="1" selected="0">
            <x v="0"/>
          </reference>
          <reference field="1" count="1" selected="0">
            <x v="1"/>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s>
  <pivotHierarchies count="29">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StokAkhir]"/>
        <x15:activeTabTopLevelEntity name="[Table_Barang]"/>
        <x15:activeTabTopLevelEntity name="[TblTransaksi]"/>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ategori" xr10:uid="{B1FB165B-9A92-45F6-BBC7-295CF471F3DD}" sourceName="[Table_Barang].[Kategori]">
  <pivotTables>
    <pivotTable tabId="10" name="PivotTable2"/>
    <pivotTable tabId="10" name="PivotTable4"/>
  </pivotTables>
  <data>
    <olap pivotCacheId="978444734">
      <levels count="2">
        <level uniqueName="[Table_Barang].[Kategori].[(All)]" sourceCaption="(All)" count="0"/>
        <level uniqueName="[Table_Barang].[Kategori].[Kategori]" sourceCaption="Kategori" count="6">
          <ranges>
            <range startItem="0">
              <i n="[Table_Barang].[Kategori].&amp;[Arsip]" c="Arsip"/>
              <i n="[Table_Barang].[Kategori].&amp;[ATK]" c="ATK"/>
              <i n="[Table_Barang].[Kategori].&amp;[Elektronik]" c="Elektronik"/>
              <i n="[Table_Barang].[Kategori].&amp;[Kebersihan]" c="Kebersihan"/>
              <i n="[Table_Barang].[Kategori].&amp;[Lainnya]" c="Lainnya"/>
              <i n="[Table_Barang].[Kategori].&amp;[Perabotan]" c="Perabotan"/>
            </range>
          </ranges>
        </level>
      </levels>
      <selections count="1">
        <selection n="[Table_Barang].[Kategori].[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7B9588CA-764E-4A0A-8F1F-91EA201DC304}" sourceName="[TblStokAkhir].[Status]">
  <pivotTables>
    <pivotTable tabId="10" name="PivotTable2"/>
    <pivotTable tabId="10" name="PivotTable4"/>
  </pivotTables>
  <data>
    <olap pivotCacheId="978444734">
      <levels count="2">
        <level uniqueName="[TblStokAkhir].[Status].[(All)]" sourceCaption="(All)" count="0"/>
        <level uniqueName="[TblStokAkhir].[Status].[Status]" sourceCaption="Status" count="3">
          <ranges>
            <range startItem="0">
              <i n="[TblStokAkhir].[Status].&amp;[Aman]" c="Aman"/>
              <i n="[TblStokAkhir].[Status].&amp;[Habis]" c="Habis"/>
              <i n="[TblStokAkhir].[Status].&amp;[Menipis]" c="Menipis"/>
            </range>
          </ranges>
        </level>
      </levels>
      <selections count="1">
        <selection n="[TblStokAkhir].[Statu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Transaksi1" xr10:uid="{EDF38BEE-9CCB-433F-8BDD-357A683DA1F7}" sourceName="[TblTransaksi].[Jenis Transaksi]">
  <pivotTables>
    <pivotTable tabId="10" name="PivotTable2"/>
    <pivotTable tabId="10" name="PivotTable4"/>
  </pivotTables>
  <data>
    <olap pivotCacheId="978444734">
      <levels count="2">
        <level uniqueName="[TblTransaksi].[Jenis Transaksi].[(All)]" sourceCaption="(All)" count="0"/>
        <level uniqueName="[TblTransaksi].[Jenis Transaksi].[Jenis Transaksi]" sourceCaption="Jenis Transaksi" count="2">
          <ranges>
            <range startItem="0">
              <i n="[TblTransaksi].[Jenis Transaksi].&amp;[Keluar]" c="Keluar"/>
              <i n="[TblTransaksi].[Jenis Transaksi].&amp;[Masuk]" c="Masuk"/>
            </range>
          </ranges>
        </level>
      </levels>
      <selections count="1">
        <selection n="[TblTransaksi].[Jenis Transaksi].[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a_Barang" xr10:uid="{C9952B58-4DA0-4AA6-BE7E-0B9F689A1B5C}" sourceName="Nama Barang">
  <extLst>
    <x:ext xmlns:x15="http://schemas.microsoft.com/office/spreadsheetml/2010/11/main" uri="{2F2917AC-EB37-4324-AD4E-5DD8C200BD13}">
      <x15:tableSlicerCache tableId="7"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Transaksi" xr10:uid="{5075F46C-F27C-49C4-8C07-45F6D36AF3C1}" sourceName="Jenis Transaksi">
  <extLst>
    <x:ext xmlns:x15="http://schemas.microsoft.com/office/spreadsheetml/2010/11/main" uri="{2F2917AC-EB37-4324-AD4E-5DD8C200BD13}">
      <x15:tableSlicerCache tableId="7" column="3"/>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 xr10:uid="{E5124AD8-8469-4CB1-9AD8-12CBE4AFA1B6}" sourceName="Status">
  <extLst>
    <x:ext xmlns:x15="http://schemas.microsoft.com/office/spreadsheetml/2010/11/main" uri="{2F2917AC-EB37-4324-AD4E-5DD8C200BD13}">
      <x15:tableSlicerCache tableId="1"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Pemotong_Kategori" xr10:uid="{2C8345E3-00A8-47BA-9010-8C1106EFC2A7}" sourceName="Kategori">
  <extLst>
    <x:ext xmlns:x15="http://schemas.microsoft.com/office/spreadsheetml/2010/11/main" uri="{2F2917AC-EB37-4324-AD4E-5DD8C200BD13}">
      <x15:tableSlicerCache tableId="2" column="3"/>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Pemotong_Satuan" xr10:uid="{4A2AD754-DB63-4431-9FF2-8E8CC562B63A}" sourceName="Satuan">
  <extLst>
    <x:ext xmlns:x15="http://schemas.microsoft.com/office/spreadsheetml/2010/11/main" uri="{2F2917AC-EB37-4324-AD4E-5DD8C200BD13}">
      <x15:tableSlicerCache tableId="2"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ategori 1" xr10:uid="{FD5A3051-6B21-43F0-8706-6F7B64A53189}" cache="Slicer_Kategori" caption="Kategori" level="1" style="Slicer Style 2" rowHeight="234950"/>
  <slicer name="Status" xr10:uid="{FF7BB052-F0E0-40A5-8E8A-5322A8316B57}" cache="Slicer_Status" caption="Status" level="1" style="Slicer Style 2" rowHeight="234950"/>
  <slicer name="Jenis Transaksi 1" xr10:uid="{10140158-13A0-4E50-9BCD-9A0B2B694913}" cache="Slicer_Jenis_Transaksi1" caption="Jenis Transaksi" level="1" style="Slicer Style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a Barang" xr10:uid="{5CBA02AE-F57E-4FF9-8E22-2E48AC8EAA2E}" cache="Slicer_Nama_Barang" caption="Nama Barang" style="Slicer Style 2" rowHeight="234950"/>
  <slicer name="Jenis Transaksi" xr10:uid="{BD2AAFF4-49AD-43FB-827C-72F86DCE0FC6}" cache="Slicer_Jenis_Transaksi" caption="Jenis Transaksi" style="Slicer Style 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4BEE8D8F-F35A-4EB6-B090-7CA32F421329}" cache="Slicer_Status1" caption="Status" style="Slicer Style 2"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ategori" xr10:uid="{D84735DC-135B-4748-A4EE-544E2CF164C9}" cache="Pemotong_Kategori" caption="Kategori" style="Slicer Style 2" rowHeight="234950"/>
  <slicer name="Satuan" xr10:uid="{CCF0E69C-6C60-4D07-BFFC-6B3933A74BD7}" cache="Pemotong_Satuan" caption="Satuan" style="Slicer Style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0052137-2C1A-401A-987E-95517A2D327C}" name="TblTransaksi" displayName="TblTransaksi" ref="F11:L84" totalsRowShown="0" headerRowDxfId="62" dataDxfId="61">
  <autoFilter ref="F11:L84" xr:uid="{F0052137-2C1A-401A-987E-95517A2D327C}"/>
  <tableColumns count="7">
    <tableColumn id="8" xr3:uid="{3E45D113-B7F3-4A18-822A-8A93B93C46B5}" name="Tanggal" dataDxfId="60"/>
    <tableColumn id="1" xr3:uid="{8ACC6B05-E660-4CCA-8C8D-4E34FBF62AD5}" name="Kode Barang" dataDxfId="59"/>
    <tableColumn id="2" xr3:uid="{E300515F-E74D-4665-BE45-05C4E825FA17}" name="Nama Barang" dataDxfId="58"/>
    <tableColumn id="3" xr3:uid="{71C454DD-5420-4547-86E7-26AF6ED24C68}" name="Jenis Transaksi" dataDxfId="57"/>
    <tableColumn id="5" xr3:uid="{A7DFE8FB-1627-449F-95B0-18F0942FB676}" name="Jumlah" dataDxfId="56"/>
    <tableColumn id="7" xr3:uid="{3C339119-D3E2-4DC0-B438-6C68C832DB1C}" name="Harga Satuan" dataDxfId="55"/>
    <tableColumn id="6" xr3:uid="{50A34489-E8E8-496C-A3AD-D46D09FC3FEC}" name="Total Harga" dataDxfId="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3C995D-607D-4AFD-833A-91E595EDD0ED}" name="TblStokAkhir" displayName="TblStokAkhir" ref="F11:M116" totalsRowShown="0" headerRowDxfId="53" dataDxfId="52">
  <autoFilter ref="F11:M116" xr:uid="{993C995D-607D-4AFD-833A-91E595EDD0ED}"/>
  <tableColumns count="8">
    <tableColumn id="1" xr3:uid="{F061AC9B-C930-4BFF-AD6E-FFC97A2D8FC4}" name="Kode Barang" dataDxfId="51"/>
    <tableColumn id="2" xr3:uid="{32E1CD04-A459-4521-A810-23356C2639D8}" name="Nama barang" dataDxfId="50"/>
    <tableColumn id="3" xr3:uid="{AEA18EDB-021B-4F87-98C8-5A334291D55F}" name="Total Masuk" dataDxfId="49"/>
    <tableColumn id="4" xr3:uid="{826F2589-6429-4B23-BA54-9A54D55EFACE}" name="Total keluar" dataDxfId="48"/>
    <tableColumn id="5" xr3:uid="{5534BF14-2C50-4749-8E49-D6CA199CCFF2}" name="Stok Awal" dataDxfId="47"/>
    <tableColumn id="6" xr3:uid="{D302B169-5912-4A83-B00E-74F7991B3284}" name="Stok Akhir" dataDxfId="46"/>
    <tableColumn id="7" xr3:uid="{E14F2ADC-204C-4D34-B1FC-9A4D1BAB89FE}" name="Stok Minimum" dataDxfId="45"/>
    <tableColumn id="8" xr3:uid="{06813DD8-DD54-4276-95E0-AAFFDDB7FEE2}" name="Status" dataDxfId="44"/>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626BF1-6810-4964-BD19-DB186914555E}" name="Table_Barang" displayName="Table_Barang" ref="F11:L117" totalsRowCount="1" headerRowDxfId="43" dataDxfId="42" totalsRowDxfId="40" tableBorderDxfId="41">
  <autoFilter ref="F11:L116" xr:uid="{6B626BF1-6810-4964-BD19-DB186914555E}"/>
  <tableColumns count="7">
    <tableColumn id="1" xr3:uid="{79E1F444-8FAE-4319-B7A1-4B826A69CBF3}" name="Kode Barang" dataDxfId="39" totalsRowDxfId="38"/>
    <tableColumn id="2" xr3:uid="{4892168C-CE23-4482-B4AE-A45278139BB9}" name="Nama Barang" dataDxfId="37" totalsRowDxfId="36"/>
    <tableColumn id="3" xr3:uid="{C78E22E1-BE2C-4B6B-B023-9F3E3664F541}" name="Kategori" dataDxfId="35" totalsRowDxfId="34"/>
    <tableColumn id="4" xr3:uid="{3F8169A9-2EEE-43E6-B6C2-63E779B69AA2}" name="Satuan" dataDxfId="33" totalsRowDxfId="32"/>
    <tableColumn id="5" xr3:uid="{75B87F7C-A8B2-49F2-B7B6-A0F4BDC37D81}" name="Harga Satuan" dataDxfId="31" totalsRowDxfId="30"/>
    <tableColumn id="6" xr3:uid="{9535DE72-6D08-48E0-A192-15764C171782}" name="Stok Awal" dataDxfId="29" totalsRowDxfId="28"/>
    <tableColumn id="7" xr3:uid="{21FB9C46-6F5D-4975-BFB9-BBD79C14369B}" name="Stok Minimum" dataDxfId="27" totalsRowDxfId="2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F47EC2-E569-41CC-957D-3A42287BDB14}" name="TblGabungan" displayName="TblGabungan" ref="F11:O169" totalsRowShown="0">
  <autoFilter ref="F11:O169" xr:uid="{2FF47EC2-E569-41CC-957D-3A42287BDB14}"/>
  <tableColumns count="10">
    <tableColumn id="1" xr3:uid="{D3C2975D-E263-4E3B-B944-456DF6580602}" name="Kode Barang">
      <calculatedColumnFormula>Table_Barang[[#This Row],[Kode Barang]]</calculatedColumnFormula>
    </tableColumn>
    <tableColumn id="2" xr3:uid="{7F658F85-ADAB-43AF-86FB-25D9BF148CC2}" name="Nama Barang" dataDxfId="25">
      <calculatedColumnFormula>IF(TblGabungan[[#This Row],[Kode Barang]]="","",VLOOKUP(TblGabungan[[#This Row],[Kode Barang]],Table_Barang[#All],2,0))</calculatedColumnFormula>
    </tableColumn>
    <tableColumn id="10" xr3:uid="{4F0C44BB-7FDB-44BB-85BA-E255E166FCB5}" name="Satuan" dataDxfId="24">
      <calculatedColumnFormula>VLOOKUP(TblGabungan[[#This Row],[Kode Barang]],Table_Barang[#All],4,0)</calculatedColumnFormula>
    </tableColumn>
    <tableColumn id="3" xr3:uid="{A21F82D2-22E4-4990-9EE3-1974D432D0A3}" name="Harga Satuan" dataDxfId="23">
      <calculatedColumnFormula>IF(TblGabungan[[#This Row],[Kode Barang]]="","",VLOOKUP(TblGabungan[[#This Row],[Kode Barang]],Table_Barang[#All],5,0))</calculatedColumnFormula>
    </tableColumn>
    <tableColumn id="4" xr3:uid="{449BB43F-4D12-4429-840A-9860A78AB5F9}" name="Masuk" dataDxfId="22">
      <calculatedColumnFormula>IF(TblGabungan[[#This Row],[Kode Barang]]="","",VLOOKUP(TblGabungan[[#This Row],[Kode Barang]],TblStokAkhir[#All],3,0))</calculatedColumnFormula>
    </tableColumn>
    <tableColumn id="5" xr3:uid="{EC01300B-F9DD-4731-91A3-006934DAFB7C}" name="Keluar" dataDxfId="21">
      <calculatedColumnFormula>IF(TblGabungan[[#This Row],[Kode Barang]]="","",VLOOKUP(TblGabungan[[#This Row],[Kode Barang]],TblStokAkhir[#All],4,0))</calculatedColumnFormula>
    </tableColumn>
    <tableColumn id="6" xr3:uid="{5F34C635-080A-47C7-8DA5-17CA0ADB6438}" name="Stok Awal" dataDxfId="20">
      <calculatedColumnFormula>IF(TblGabungan[[#This Row],[Kode Barang]]="","",VLOOKUP(TblGabungan[[#This Row],[Kode Barang]],TblStokAkhir[#All],5,0))</calculatedColumnFormula>
    </tableColumn>
    <tableColumn id="7" xr3:uid="{DBDDC69C-A181-46D2-9A62-975A52282172}" name="Stok Akhir" dataDxfId="19">
      <calculatedColumnFormula>IF(TblGabungan[[#This Row],[Kode Barang]]="","",VLOOKUP(TblGabungan[[#This Row],[Kode Barang]],TblStokAkhir[#All],5,0))</calculatedColumnFormula>
    </tableColumn>
    <tableColumn id="8" xr3:uid="{C21B6B1C-A15C-4F0C-84E1-E1116848FA5E}" name="Stok Minimum" dataDxfId="18">
      <calculatedColumnFormula>IF(TblGabungan[[#This Row],[Kode Barang]]="","",VLOOKUP(TblGabungan[[#This Row],[Kode Barang]],TblStokAkhir[#All],7,0))</calculatedColumnFormula>
    </tableColumn>
    <tableColumn id="9" xr3:uid="{6C977A92-B834-482B-BC82-345DA6E089AD}" name="Status" dataDxfId="17">
      <calculatedColumnFormula>IF(TblGabungan[[#This Row],[Kode Barang]]="","",VLOOKUP(TblGabungan[[#This Row],[Kode Barang]],TblStokAkhir[#All],8,0))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9.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4.xm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CE06-BD77-4B68-9460-E2EC268963DF}">
  <sheetPr codeName="Sheet4"/>
  <dimension ref="E2:R17"/>
  <sheetViews>
    <sheetView showGridLines="0" showRowColHeaders="0" tabSelected="1" zoomScaleNormal="100" workbookViewId="0">
      <selection activeCell="G29" sqref="G29"/>
    </sheetView>
  </sheetViews>
  <sheetFormatPr defaultRowHeight="14.4" x14ac:dyDescent="0.3"/>
  <cols>
    <col min="1" max="1" width="17.21875" style="16" customWidth="1"/>
    <col min="2" max="2" width="15.5546875" style="16" customWidth="1"/>
    <col min="3" max="3" width="8" style="16" customWidth="1"/>
    <col min="4" max="4" width="10.77734375" style="16" bestFit="1" customWidth="1"/>
    <col min="5" max="6" width="8.88671875" style="16"/>
    <col min="7" max="7" width="11.77734375" style="16" bestFit="1" customWidth="1"/>
    <col min="8" max="8" width="16.21875" style="16" bestFit="1" customWidth="1"/>
    <col min="9" max="9" width="8.88671875" style="16" customWidth="1"/>
    <col min="10" max="10" width="8.88671875" style="16"/>
    <col min="11" max="11" width="14.44140625" style="16" bestFit="1" customWidth="1"/>
    <col min="12" max="12" width="18.88671875" style="16" bestFit="1" customWidth="1"/>
    <col min="13" max="14" width="17.21875" style="16" bestFit="1" customWidth="1"/>
    <col min="15" max="29" width="15.5546875" style="16" bestFit="1" customWidth="1"/>
    <col min="30" max="30" width="10.77734375" style="16" bestFit="1" customWidth="1"/>
    <col min="31" max="31" width="9.5546875" style="16" bestFit="1" customWidth="1"/>
    <col min="32" max="32" width="11.5546875" style="16" bestFit="1" customWidth="1"/>
    <col min="33" max="33" width="10.33203125" style="16" bestFit="1" customWidth="1"/>
    <col min="34" max="34" width="11.5546875" style="16" bestFit="1" customWidth="1"/>
    <col min="35" max="36" width="11.88671875" style="16" bestFit="1" customWidth="1"/>
    <col min="37" max="37" width="9.21875" style="16" bestFit="1" customWidth="1"/>
    <col min="38" max="38" width="11.88671875" style="16" bestFit="1" customWidth="1"/>
    <col min="39" max="39" width="10" style="16" bestFit="1" customWidth="1"/>
    <col min="40" max="40" width="11.33203125" style="16" bestFit="1" customWidth="1"/>
    <col min="41" max="41" width="10.6640625" style="16" bestFit="1" customWidth="1"/>
    <col min="42" max="42" width="11.88671875" style="16" bestFit="1" customWidth="1"/>
    <col min="43" max="43" width="11.21875" style="16" bestFit="1" customWidth="1"/>
    <col min="44" max="44" width="11.88671875" style="16" bestFit="1" customWidth="1"/>
    <col min="45" max="45" width="10.5546875" style="16" bestFit="1" customWidth="1"/>
    <col min="46" max="46" width="11.88671875" style="16" bestFit="1" customWidth="1"/>
    <col min="47" max="47" width="11.21875" style="16" bestFit="1" customWidth="1"/>
    <col min="48" max="48" width="11.88671875" style="16" bestFit="1" customWidth="1"/>
    <col min="49" max="49" width="10.77734375" style="16" bestFit="1" customWidth="1"/>
    <col min="50" max="50" width="9.21875" style="16" bestFit="1" customWidth="1"/>
    <col min="51" max="52" width="11.88671875" style="16" bestFit="1" customWidth="1"/>
    <col min="53" max="53" width="12" style="16" bestFit="1" customWidth="1"/>
    <col min="54" max="54" width="14.77734375" style="16" bestFit="1" customWidth="1"/>
    <col min="55" max="55" width="11.33203125" style="16" bestFit="1" customWidth="1"/>
    <col min="56" max="56" width="10.6640625" style="16" bestFit="1" customWidth="1"/>
    <col min="57" max="58" width="11.88671875" style="16" bestFit="1" customWidth="1"/>
    <col min="59" max="59" width="11.21875" style="16" bestFit="1" customWidth="1"/>
    <col min="60" max="61" width="11.88671875" style="16" bestFit="1" customWidth="1"/>
    <col min="62" max="62" width="10.5546875" style="16" bestFit="1" customWidth="1"/>
    <col min="63" max="64" width="11.88671875" style="16" bestFit="1" customWidth="1"/>
    <col min="65" max="65" width="11.21875" style="16" bestFit="1" customWidth="1"/>
    <col min="66" max="67" width="11.88671875" style="16" bestFit="1" customWidth="1"/>
    <col min="68" max="68" width="10.77734375" style="16" bestFit="1" customWidth="1"/>
    <col min="69" max="16384" width="8.88671875" style="16"/>
  </cols>
  <sheetData>
    <row r="2" spans="5:18" x14ac:dyDescent="0.3">
      <c r="R2" s="17"/>
    </row>
    <row r="8" spans="5:18" x14ac:dyDescent="0.3">
      <c r="E8" s="16" t="s">
        <v>175</v>
      </c>
    </row>
    <row r="12" spans="5:18" x14ac:dyDescent="0.3">
      <c r="O12" s="16" t="s">
        <v>175</v>
      </c>
    </row>
    <row r="17" spans="17:17" x14ac:dyDescent="0.3">
      <c r="Q17" s="16" t="s">
        <v>175</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7C20E-CFBA-4FEB-8DFF-EB971D1D0B54}">
  <sheetPr codeName="Sheet3"/>
  <dimension ref="F9:N132"/>
  <sheetViews>
    <sheetView showGridLines="0" showRowColHeaders="0" zoomScaleNormal="100" workbookViewId="0"/>
  </sheetViews>
  <sheetFormatPr defaultRowHeight="14.4" x14ac:dyDescent="0.3"/>
  <cols>
    <col min="1" max="5" width="8.88671875" customWidth="1"/>
    <col min="6" max="6" width="13" bestFit="1" customWidth="1"/>
    <col min="7" max="7" width="17.77734375" bestFit="1" customWidth="1"/>
    <col min="8" max="8" width="18.33203125" bestFit="1" customWidth="1"/>
    <col min="9" max="9" width="20.109375" bestFit="1" customWidth="1"/>
    <col min="10" max="10" width="12.109375" bestFit="1" customWidth="1"/>
    <col min="11" max="11" width="18.44140625" bestFit="1" customWidth="1"/>
    <col min="12" max="12" width="18.109375" bestFit="1" customWidth="1"/>
    <col min="51" max="51" width="15" bestFit="1" customWidth="1"/>
  </cols>
  <sheetData>
    <row r="9" spans="6:14" x14ac:dyDescent="0.3">
      <c r="N9" s="12"/>
    </row>
    <row r="10" spans="6:14" ht="15.6" x14ac:dyDescent="0.3">
      <c r="F10" s="21"/>
      <c r="G10" s="22"/>
      <c r="H10" s="23"/>
      <c r="I10" s="22"/>
      <c r="J10" s="22"/>
      <c r="K10" s="24"/>
      <c r="L10" s="24"/>
    </row>
    <row r="11" spans="6:14" ht="15.6" x14ac:dyDescent="0.3">
      <c r="F11" s="25" t="s">
        <v>19</v>
      </c>
      <c r="G11" s="26" t="s">
        <v>0</v>
      </c>
      <c r="H11" s="26" t="s">
        <v>1</v>
      </c>
      <c r="I11" s="26" t="s">
        <v>20</v>
      </c>
      <c r="J11" s="26" t="s">
        <v>21</v>
      </c>
      <c r="K11" s="26" t="s">
        <v>3</v>
      </c>
      <c r="L11" s="26" t="s">
        <v>22</v>
      </c>
    </row>
    <row r="12" spans="6:14" ht="15.6" x14ac:dyDescent="0.3">
      <c r="F12" s="25" t="s">
        <v>185</v>
      </c>
      <c r="G12" s="1" t="s">
        <v>106</v>
      </c>
      <c r="H12" s="27" t="s">
        <v>57</v>
      </c>
      <c r="I12" s="1" t="s">
        <v>186</v>
      </c>
      <c r="J12" s="1">
        <v>25</v>
      </c>
      <c r="K12" s="28">
        <v>51800</v>
      </c>
      <c r="L12" s="28">
        <v>1295000</v>
      </c>
    </row>
    <row r="13" spans="6:14" ht="15.6" x14ac:dyDescent="0.3">
      <c r="F13" s="25" t="s">
        <v>185</v>
      </c>
      <c r="G13" s="1" t="s">
        <v>82</v>
      </c>
      <c r="H13" s="27" t="s">
        <v>64</v>
      </c>
      <c r="I13" s="1" t="s">
        <v>186</v>
      </c>
      <c r="J13" s="1">
        <v>10</v>
      </c>
      <c r="K13" s="28">
        <v>135300</v>
      </c>
      <c r="L13" s="28">
        <v>1353000</v>
      </c>
    </row>
    <row r="14" spans="6:14" ht="15.6" x14ac:dyDescent="0.3">
      <c r="F14" s="25" t="s">
        <v>185</v>
      </c>
      <c r="G14" s="1" t="s">
        <v>27</v>
      </c>
      <c r="H14" s="27" t="s">
        <v>65</v>
      </c>
      <c r="I14" s="1" t="s">
        <v>187</v>
      </c>
      <c r="J14" s="1">
        <v>20</v>
      </c>
      <c r="K14" s="28">
        <v>69600</v>
      </c>
      <c r="L14" s="28">
        <v>1392000</v>
      </c>
    </row>
    <row r="15" spans="6:14" ht="15.6" x14ac:dyDescent="0.3">
      <c r="F15" s="25" t="s">
        <v>185</v>
      </c>
      <c r="G15" s="1" t="s">
        <v>110</v>
      </c>
      <c r="H15" s="27" t="s">
        <v>55</v>
      </c>
      <c r="I15" s="1" t="s">
        <v>187</v>
      </c>
      <c r="J15" s="1">
        <v>20</v>
      </c>
      <c r="K15" s="28">
        <v>41600</v>
      </c>
      <c r="L15" s="28">
        <v>832000</v>
      </c>
    </row>
    <row r="16" spans="6:14" ht="15.6" x14ac:dyDescent="0.3">
      <c r="F16" s="25" t="s">
        <v>185</v>
      </c>
      <c r="G16" s="1" t="s">
        <v>161</v>
      </c>
      <c r="H16" s="27" t="s">
        <v>49</v>
      </c>
      <c r="I16" s="1" t="s">
        <v>187</v>
      </c>
      <c r="J16" s="1">
        <v>12</v>
      </c>
      <c r="K16" s="28">
        <v>80800</v>
      </c>
      <c r="L16" s="28">
        <v>969600</v>
      </c>
    </row>
    <row r="17" spans="6:12" ht="15.6" x14ac:dyDescent="0.3">
      <c r="F17" s="25" t="s">
        <v>185</v>
      </c>
      <c r="G17" s="1" t="s">
        <v>148</v>
      </c>
      <c r="H17" s="27" t="s">
        <v>73</v>
      </c>
      <c r="I17" s="1" t="s">
        <v>187</v>
      </c>
      <c r="J17" s="1">
        <v>7</v>
      </c>
      <c r="K17" s="28">
        <v>179300</v>
      </c>
      <c r="L17" s="28">
        <v>1255100</v>
      </c>
    </row>
    <row r="18" spans="6:12" ht="15.6" x14ac:dyDescent="0.3">
      <c r="F18" s="25" t="s">
        <v>185</v>
      </c>
      <c r="G18" s="1" t="s">
        <v>115</v>
      </c>
      <c r="H18" s="27" t="s">
        <v>74</v>
      </c>
      <c r="I18" s="1" t="s">
        <v>187</v>
      </c>
      <c r="J18" s="1">
        <v>21</v>
      </c>
      <c r="K18" s="28">
        <v>182400</v>
      </c>
      <c r="L18" s="28">
        <v>3830400</v>
      </c>
    </row>
    <row r="19" spans="6:12" ht="15.6" x14ac:dyDescent="0.3">
      <c r="F19" s="25" t="s">
        <v>185</v>
      </c>
      <c r="G19" s="1" t="s">
        <v>34</v>
      </c>
      <c r="H19" s="27" t="s">
        <v>172</v>
      </c>
      <c r="I19" s="1" t="s">
        <v>186</v>
      </c>
      <c r="J19" s="1">
        <v>67</v>
      </c>
      <c r="K19" s="28">
        <v>193000</v>
      </c>
      <c r="L19" s="28">
        <v>12931000</v>
      </c>
    </row>
    <row r="20" spans="6:12" ht="15.6" x14ac:dyDescent="0.3">
      <c r="F20" s="25" t="s">
        <v>185</v>
      </c>
      <c r="G20" s="1" t="s">
        <v>155</v>
      </c>
      <c r="H20" s="27" t="s">
        <v>70</v>
      </c>
      <c r="I20" s="1" t="s">
        <v>187</v>
      </c>
      <c r="J20" s="1">
        <v>20</v>
      </c>
      <c r="K20" s="28">
        <v>140400</v>
      </c>
      <c r="L20" s="28">
        <v>2808000</v>
      </c>
    </row>
    <row r="21" spans="6:12" ht="15.6" x14ac:dyDescent="0.3">
      <c r="F21" s="25" t="s">
        <v>185</v>
      </c>
      <c r="G21" s="1" t="s">
        <v>151</v>
      </c>
      <c r="H21" s="27" t="s">
        <v>75</v>
      </c>
      <c r="I21" s="1" t="s">
        <v>186</v>
      </c>
      <c r="J21" s="1">
        <v>60</v>
      </c>
      <c r="K21" s="28">
        <v>104200</v>
      </c>
      <c r="L21" s="28">
        <v>6252000</v>
      </c>
    </row>
    <row r="22" spans="6:12" ht="15.6" x14ac:dyDescent="0.3">
      <c r="F22" s="25" t="s">
        <v>185</v>
      </c>
      <c r="G22" s="1" t="s">
        <v>156</v>
      </c>
      <c r="H22" s="27" t="s">
        <v>36</v>
      </c>
      <c r="I22" s="1" t="s">
        <v>186</v>
      </c>
      <c r="J22" s="1">
        <v>100</v>
      </c>
      <c r="K22" s="28">
        <v>196300</v>
      </c>
      <c r="L22" s="28">
        <v>19630000</v>
      </c>
    </row>
    <row r="23" spans="6:12" ht="15.6" x14ac:dyDescent="0.3">
      <c r="F23" s="25" t="s">
        <v>185</v>
      </c>
      <c r="G23" s="1" t="s">
        <v>134</v>
      </c>
      <c r="H23" s="27" t="s">
        <v>44</v>
      </c>
      <c r="I23" s="1" t="s">
        <v>187</v>
      </c>
      <c r="J23" s="1">
        <v>15</v>
      </c>
      <c r="K23" s="28">
        <v>120700</v>
      </c>
      <c r="L23" s="28">
        <v>1810500</v>
      </c>
    </row>
    <row r="24" spans="6:12" ht="15.6" x14ac:dyDescent="0.3">
      <c r="F24" s="25" t="s">
        <v>185</v>
      </c>
      <c r="G24" s="1" t="s">
        <v>111</v>
      </c>
      <c r="H24" s="27" t="s">
        <v>69</v>
      </c>
      <c r="I24" s="1" t="s">
        <v>186</v>
      </c>
      <c r="J24" s="1">
        <v>40</v>
      </c>
      <c r="K24" s="28">
        <v>90800</v>
      </c>
      <c r="L24" s="28">
        <v>3632000</v>
      </c>
    </row>
    <row r="25" spans="6:12" ht="15.6" x14ac:dyDescent="0.3">
      <c r="F25" s="25" t="s">
        <v>185</v>
      </c>
      <c r="G25" s="1" t="s">
        <v>31</v>
      </c>
      <c r="H25" s="27" t="s">
        <v>39</v>
      </c>
      <c r="I25" s="1" t="s">
        <v>187</v>
      </c>
      <c r="J25" s="1">
        <v>20</v>
      </c>
      <c r="K25" s="28">
        <v>16000</v>
      </c>
      <c r="L25" s="28">
        <v>320000</v>
      </c>
    </row>
    <row r="26" spans="6:12" ht="15.6" x14ac:dyDescent="0.3">
      <c r="F26" s="25" t="s">
        <v>185</v>
      </c>
      <c r="G26" s="1" t="s">
        <v>122</v>
      </c>
      <c r="H26" s="27" t="s">
        <v>54</v>
      </c>
      <c r="I26" s="1" t="s">
        <v>187</v>
      </c>
      <c r="J26" s="1">
        <v>30</v>
      </c>
      <c r="K26" s="28">
        <v>131700</v>
      </c>
      <c r="L26" s="28">
        <v>3951000</v>
      </c>
    </row>
    <row r="27" spans="6:12" ht="15.6" x14ac:dyDescent="0.3">
      <c r="F27" s="25" t="s">
        <v>185</v>
      </c>
      <c r="G27" s="1" t="s">
        <v>79</v>
      </c>
      <c r="H27" s="27" t="s">
        <v>72</v>
      </c>
      <c r="I27" s="1" t="s">
        <v>187</v>
      </c>
      <c r="J27" s="1">
        <v>100</v>
      </c>
      <c r="K27" s="28">
        <v>150000</v>
      </c>
      <c r="L27" s="28">
        <v>15000000</v>
      </c>
    </row>
    <row r="28" spans="6:12" ht="15.6" x14ac:dyDescent="0.3">
      <c r="F28" s="25" t="s">
        <v>185</v>
      </c>
      <c r="G28" s="1" t="s">
        <v>89</v>
      </c>
      <c r="H28" s="27" t="s">
        <v>37</v>
      </c>
      <c r="I28" s="1" t="s">
        <v>186</v>
      </c>
      <c r="J28" s="1">
        <v>50</v>
      </c>
      <c r="K28" s="28">
        <v>110600</v>
      </c>
      <c r="L28" s="28">
        <v>5530000</v>
      </c>
    </row>
    <row r="29" spans="6:12" ht="15.6" x14ac:dyDescent="0.3">
      <c r="F29" s="25" t="s">
        <v>185</v>
      </c>
      <c r="G29" s="1" t="s">
        <v>105</v>
      </c>
      <c r="H29" s="27" t="s">
        <v>53</v>
      </c>
      <c r="I29" s="1" t="s">
        <v>187</v>
      </c>
      <c r="J29" s="1">
        <v>44</v>
      </c>
      <c r="K29" s="28">
        <v>105400</v>
      </c>
      <c r="L29" s="28">
        <v>4637600</v>
      </c>
    </row>
    <row r="30" spans="6:12" ht="15.6" x14ac:dyDescent="0.3">
      <c r="F30" s="25" t="s">
        <v>185</v>
      </c>
      <c r="G30" s="1" t="s">
        <v>141</v>
      </c>
      <c r="H30" s="27" t="s">
        <v>47</v>
      </c>
      <c r="I30" s="1" t="s">
        <v>187</v>
      </c>
      <c r="J30" s="1">
        <v>30</v>
      </c>
      <c r="K30" s="28">
        <v>116300</v>
      </c>
      <c r="L30" s="28">
        <v>3489000</v>
      </c>
    </row>
    <row r="31" spans="6:12" ht="15.6" x14ac:dyDescent="0.3">
      <c r="F31" s="25" t="s">
        <v>185</v>
      </c>
      <c r="G31" s="1" t="s">
        <v>126</v>
      </c>
      <c r="H31" s="27" t="s">
        <v>170</v>
      </c>
      <c r="I31" s="1" t="s">
        <v>186</v>
      </c>
      <c r="J31" s="1">
        <v>141</v>
      </c>
      <c r="K31" s="28">
        <v>164900</v>
      </c>
      <c r="L31" s="28">
        <v>23250900</v>
      </c>
    </row>
    <row r="32" spans="6:12" ht="15.6" x14ac:dyDescent="0.3">
      <c r="F32" s="25" t="s">
        <v>185</v>
      </c>
      <c r="G32" s="1" t="s">
        <v>189</v>
      </c>
      <c r="H32" s="27" t="s">
        <v>190</v>
      </c>
      <c r="I32" s="1" t="s">
        <v>186</v>
      </c>
      <c r="J32" s="1">
        <v>26</v>
      </c>
      <c r="K32" s="28">
        <v>179000</v>
      </c>
      <c r="L32" s="28">
        <v>4654000</v>
      </c>
    </row>
    <row r="33" spans="6:12" ht="15.6" x14ac:dyDescent="0.3">
      <c r="F33" s="25" t="s">
        <v>185</v>
      </c>
      <c r="G33" s="1" t="s">
        <v>136</v>
      </c>
      <c r="H33" s="27" t="s">
        <v>74</v>
      </c>
      <c r="I33" s="1" t="s">
        <v>186</v>
      </c>
      <c r="J33" s="1">
        <v>69</v>
      </c>
      <c r="K33" s="28">
        <v>24100</v>
      </c>
      <c r="L33" s="28">
        <v>1662900</v>
      </c>
    </row>
    <row r="34" spans="6:12" ht="15.6" x14ac:dyDescent="0.3">
      <c r="F34" s="25" t="s">
        <v>185</v>
      </c>
      <c r="G34" s="1" t="s">
        <v>25</v>
      </c>
      <c r="H34" s="27" t="s">
        <v>66</v>
      </c>
      <c r="I34" s="1" t="s">
        <v>186</v>
      </c>
      <c r="J34" s="1">
        <v>93</v>
      </c>
      <c r="K34" s="28">
        <v>174600</v>
      </c>
      <c r="L34" s="28">
        <v>16237800</v>
      </c>
    </row>
    <row r="35" spans="6:12" ht="15.6" x14ac:dyDescent="0.3">
      <c r="F35" s="25" t="s">
        <v>185</v>
      </c>
      <c r="G35" s="1" t="s">
        <v>147</v>
      </c>
      <c r="H35" s="27" t="s">
        <v>52</v>
      </c>
      <c r="I35" s="1" t="s">
        <v>186</v>
      </c>
      <c r="J35" s="1">
        <v>57</v>
      </c>
      <c r="K35" s="28">
        <v>178000</v>
      </c>
      <c r="L35" s="28">
        <v>10146000</v>
      </c>
    </row>
    <row r="36" spans="6:12" ht="15.6" x14ac:dyDescent="0.3">
      <c r="F36" s="25" t="s">
        <v>185</v>
      </c>
      <c r="G36" s="1" t="s">
        <v>86</v>
      </c>
      <c r="H36" s="27" t="s">
        <v>62</v>
      </c>
      <c r="I36" s="1" t="s">
        <v>186</v>
      </c>
      <c r="J36" s="1">
        <v>12</v>
      </c>
      <c r="K36" s="28">
        <v>151000</v>
      </c>
      <c r="L36" s="28">
        <v>1812000</v>
      </c>
    </row>
    <row r="37" spans="6:12" ht="15.6" x14ac:dyDescent="0.3">
      <c r="F37" s="25" t="s">
        <v>185</v>
      </c>
      <c r="G37" s="1" t="s">
        <v>104</v>
      </c>
      <c r="H37" s="27" t="s">
        <v>166</v>
      </c>
      <c r="I37" s="1" t="s">
        <v>186</v>
      </c>
      <c r="J37" s="1">
        <v>15</v>
      </c>
      <c r="K37" s="28">
        <v>197600</v>
      </c>
      <c r="L37" s="28">
        <v>2964000</v>
      </c>
    </row>
    <row r="38" spans="6:12" ht="15.6" x14ac:dyDescent="0.3">
      <c r="F38" s="25" t="s">
        <v>185</v>
      </c>
      <c r="G38" s="1" t="s">
        <v>93</v>
      </c>
      <c r="H38" s="27" t="s">
        <v>61</v>
      </c>
      <c r="I38" s="1" t="s">
        <v>187</v>
      </c>
      <c r="J38" s="1">
        <v>73</v>
      </c>
      <c r="K38" s="28">
        <v>132000</v>
      </c>
      <c r="L38" s="28">
        <v>9636000</v>
      </c>
    </row>
    <row r="39" spans="6:12" ht="15.6" x14ac:dyDescent="0.3">
      <c r="F39" s="25" t="s">
        <v>185</v>
      </c>
      <c r="G39" s="1" t="s">
        <v>26</v>
      </c>
      <c r="H39" s="27" t="s">
        <v>39</v>
      </c>
      <c r="I39" s="1" t="s">
        <v>187</v>
      </c>
      <c r="J39" s="1">
        <v>30</v>
      </c>
      <c r="K39" s="28">
        <v>199000</v>
      </c>
      <c r="L39" s="28">
        <v>5970000</v>
      </c>
    </row>
    <row r="40" spans="6:12" ht="15.6" x14ac:dyDescent="0.3">
      <c r="F40" s="25" t="s">
        <v>185</v>
      </c>
      <c r="G40" s="1" t="s">
        <v>108</v>
      </c>
      <c r="H40" s="27" t="s">
        <v>168</v>
      </c>
      <c r="I40" s="1" t="s">
        <v>187</v>
      </c>
      <c r="J40" s="1">
        <v>50</v>
      </c>
      <c r="K40" s="65">
        <v>20400</v>
      </c>
      <c r="L40" s="28">
        <v>1020000</v>
      </c>
    </row>
    <row r="41" spans="6:12" ht="15.6" x14ac:dyDescent="0.3">
      <c r="F41" s="25" t="s">
        <v>185</v>
      </c>
      <c r="G41" s="1" t="s">
        <v>83</v>
      </c>
      <c r="H41" s="27" t="s">
        <v>57</v>
      </c>
      <c r="I41" s="1" t="s">
        <v>187</v>
      </c>
      <c r="J41" s="1">
        <v>57</v>
      </c>
      <c r="K41" s="28">
        <v>157500</v>
      </c>
      <c r="L41" s="28">
        <v>8977500</v>
      </c>
    </row>
    <row r="42" spans="6:12" ht="15.6" x14ac:dyDescent="0.3">
      <c r="F42" s="25" t="s">
        <v>185</v>
      </c>
      <c r="G42" s="1" t="s">
        <v>82</v>
      </c>
      <c r="H42" s="27" t="s">
        <v>64</v>
      </c>
      <c r="I42" s="1" t="s">
        <v>187</v>
      </c>
      <c r="J42" s="1">
        <v>250</v>
      </c>
      <c r="K42" s="28">
        <v>135300</v>
      </c>
      <c r="L42" s="28">
        <v>33825000</v>
      </c>
    </row>
    <row r="43" spans="6:12" ht="15.6" x14ac:dyDescent="0.3">
      <c r="F43" s="25" t="s">
        <v>185</v>
      </c>
      <c r="G43" s="1" t="s">
        <v>24</v>
      </c>
      <c r="H43" s="27" t="s">
        <v>165</v>
      </c>
      <c r="I43" s="1" t="s">
        <v>186</v>
      </c>
      <c r="J43" s="1">
        <v>240</v>
      </c>
      <c r="K43" s="28">
        <v>20000</v>
      </c>
      <c r="L43" s="28">
        <v>4800000</v>
      </c>
    </row>
    <row r="44" spans="6:12" ht="15.6" x14ac:dyDescent="0.3">
      <c r="F44" s="25" t="s">
        <v>185</v>
      </c>
      <c r="G44" s="1" t="s">
        <v>153</v>
      </c>
      <c r="H44" s="27" t="s">
        <v>38</v>
      </c>
      <c r="I44" s="1" t="s">
        <v>187</v>
      </c>
      <c r="J44" s="1">
        <v>15</v>
      </c>
      <c r="K44" s="28">
        <v>196000</v>
      </c>
      <c r="L44" s="28">
        <v>2940000</v>
      </c>
    </row>
    <row r="45" spans="6:12" ht="15.6" x14ac:dyDescent="0.3">
      <c r="F45" s="25" t="s">
        <v>185</v>
      </c>
      <c r="G45" s="1" t="s">
        <v>138</v>
      </c>
      <c r="H45" s="27" t="s">
        <v>74</v>
      </c>
      <c r="I45" s="1" t="s">
        <v>187</v>
      </c>
      <c r="J45" s="1">
        <v>28</v>
      </c>
      <c r="K45" s="28">
        <v>28300</v>
      </c>
      <c r="L45" s="28">
        <v>792400</v>
      </c>
    </row>
    <row r="46" spans="6:12" ht="15.6" x14ac:dyDescent="0.3">
      <c r="F46" s="25" t="s">
        <v>185</v>
      </c>
      <c r="G46" s="1" t="s">
        <v>162</v>
      </c>
      <c r="H46" s="27" t="s">
        <v>56</v>
      </c>
      <c r="I46" s="1" t="s">
        <v>186</v>
      </c>
      <c r="J46" s="1">
        <v>36</v>
      </c>
      <c r="K46" s="28">
        <v>98100</v>
      </c>
      <c r="L46" s="28">
        <v>3531600</v>
      </c>
    </row>
    <row r="47" spans="6:12" ht="15.6" x14ac:dyDescent="0.3">
      <c r="F47" s="25" t="s">
        <v>185</v>
      </c>
      <c r="G47" s="1" t="s">
        <v>81</v>
      </c>
      <c r="H47" s="27" t="s">
        <v>49</v>
      </c>
      <c r="I47" s="1" t="s">
        <v>186</v>
      </c>
      <c r="J47" s="1">
        <v>82</v>
      </c>
      <c r="K47" s="28">
        <v>37900</v>
      </c>
      <c r="L47" s="28">
        <v>3107800</v>
      </c>
    </row>
    <row r="48" spans="6:12" ht="15.6" x14ac:dyDescent="0.3">
      <c r="F48" s="25" t="s">
        <v>185</v>
      </c>
      <c r="G48" s="1" t="s">
        <v>161</v>
      </c>
      <c r="H48" s="27" t="s">
        <v>49</v>
      </c>
      <c r="I48" s="1" t="s">
        <v>187</v>
      </c>
      <c r="J48" s="1">
        <v>1</v>
      </c>
      <c r="K48" s="28">
        <v>80800</v>
      </c>
      <c r="L48" s="28">
        <v>80800</v>
      </c>
    </row>
    <row r="49" spans="6:12" ht="15.6" x14ac:dyDescent="0.3">
      <c r="F49" s="25" t="s">
        <v>185</v>
      </c>
      <c r="G49" s="1" t="s">
        <v>122</v>
      </c>
      <c r="H49" s="27" t="s">
        <v>54</v>
      </c>
      <c r="I49" s="1" t="s">
        <v>187</v>
      </c>
      <c r="J49" s="1">
        <v>59</v>
      </c>
      <c r="K49" s="28">
        <v>131700</v>
      </c>
      <c r="L49" s="28">
        <v>7770300</v>
      </c>
    </row>
    <row r="50" spans="6:12" ht="15.6" x14ac:dyDescent="0.3">
      <c r="F50" s="25" t="s">
        <v>185</v>
      </c>
      <c r="G50" s="1" t="s">
        <v>105</v>
      </c>
      <c r="H50" s="27" t="s">
        <v>53</v>
      </c>
      <c r="I50" s="1" t="s">
        <v>186</v>
      </c>
      <c r="J50" s="1">
        <v>74</v>
      </c>
      <c r="K50" s="28">
        <v>105400</v>
      </c>
      <c r="L50" s="28">
        <v>7799600</v>
      </c>
    </row>
    <row r="51" spans="6:12" ht="15.6" x14ac:dyDescent="0.3">
      <c r="F51" s="25" t="s">
        <v>185</v>
      </c>
      <c r="G51" s="1" t="s">
        <v>32</v>
      </c>
      <c r="H51" s="27" t="s">
        <v>68</v>
      </c>
      <c r="I51" s="1" t="s">
        <v>187</v>
      </c>
      <c r="J51" s="1">
        <v>66</v>
      </c>
      <c r="K51" s="28">
        <v>25700</v>
      </c>
      <c r="L51" s="28">
        <v>1696200</v>
      </c>
    </row>
    <row r="52" spans="6:12" ht="15.6" x14ac:dyDescent="0.3">
      <c r="F52" s="25" t="s">
        <v>185</v>
      </c>
      <c r="G52" s="1" t="s">
        <v>129</v>
      </c>
      <c r="H52" s="27" t="s">
        <v>70</v>
      </c>
      <c r="I52" s="1" t="s">
        <v>186</v>
      </c>
      <c r="J52" s="1">
        <v>35</v>
      </c>
      <c r="K52" s="28">
        <v>54300</v>
      </c>
      <c r="L52" s="28">
        <v>1900500</v>
      </c>
    </row>
    <row r="53" spans="6:12" ht="15.6" x14ac:dyDescent="0.3">
      <c r="F53" s="25" t="s">
        <v>185</v>
      </c>
      <c r="G53" s="1" t="s">
        <v>35</v>
      </c>
      <c r="H53" s="27" t="s">
        <v>55</v>
      </c>
      <c r="I53" s="1" t="s">
        <v>187</v>
      </c>
      <c r="J53" s="1">
        <v>40</v>
      </c>
      <c r="K53" s="28">
        <v>34400</v>
      </c>
      <c r="L53" s="28">
        <v>1376000</v>
      </c>
    </row>
    <row r="54" spans="6:12" ht="15.6" x14ac:dyDescent="0.3">
      <c r="F54" s="25" t="s">
        <v>185</v>
      </c>
      <c r="G54" s="1" t="s">
        <v>80</v>
      </c>
      <c r="H54" s="27" t="s">
        <v>50</v>
      </c>
      <c r="I54" s="1" t="s">
        <v>187</v>
      </c>
      <c r="J54" s="1">
        <v>45</v>
      </c>
      <c r="K54" s="28">
        <v>129000</v>
      </c>
      <c r="L54" s="28">
        <v>5805000</v>
      </c>
    </row>
    <row r="55" spans="6:12" ht="15.6" x14ac:dyDescent="0.3">
      <c r="F55" s="25" t="s">
        <v>185</v>
      </c>
      <c r="G55" s="1" t="s">
        <v>90</v>
      </c>
      <c r="H55" s="27" t="s">
        <v>39</v>
      </c>
      <c r="I55" s="1" t="s">
        <v>186</v>
      </c>
      <c r="J55" s="1">
        <v>75</v>
      </c>
      <c r="K55" s="28">
        <v>134300</v>
      </c>
      <c r="L55" s="28">
        <v>10072500</v>
      </c>
    </row>
    <row r="56" spans="6:12" ht="15.6" x14ac:dyDescent="0.3">
      <c r="F56" s="25" t="s">
        <v>185</v>
      </c>
      <c r="G56" s="1" t="s">
        <v>28</v>
      </c>
      <c r="H56" s="27" t="s">
        <v>67</v>
      </c>
      <c r="I56" s="1" t="s">
        <v>187</v>
      </c>
      <c r="J56" s="1">
        <v>23</v>
      </c>
      <c r="K56" s="28">
        <v>175900</v>
      </c>
      <c r="L56" s="28">
        <v>4045700</v>
      </c>
    </row>
    <row r="57" spans="6:12" ht="15.6" x14ac:dyDescent="0.3">
      <c r="F57" s="25" t="s">
        <v>185</v>
      </c>
      <c r="G57" s="1" t="s">
        <v>98</v>
      </c>
      <c r="H57" s="27" t="s">
        <v>53</v>
      </c>
      <c r="I57" s="1" t="s">
        <v>187</v>
      </c>
      <c r="J57" s="1">
        <v>52</v>
      </c>
      <c r="K57" s="28">
        <v>4800</v>
      </c>
      <c r="L57" s="28">
        <v>249600</v>
      </c>
    </row>
    <row r="58" spans="6:12" ht="15.6" x14ac:dyDescent="0.3">
      <c r="F58" s="25" t="s">
        <v>185</v>
      </c>
      <c r="G58" s="1" t="s">
        <v>93</v>
      </c>
      <c r="H58" s="27" t="s">
        <v>61</v>
      </c>
      <c r="I58" s="1" t="s">
        <v>186</v>
      </c>
      <c r="J58" s="1">
        <v>91</v>
      </c>
      <c r="K58" s="28">
        <v>132000</v>
      </c>
      <c r="L58" s="28">
        <v>12012000</v>
      </c>
    </row>
    <row r="59" spans="6:12" ht="15.6" x14ac:dyDescent="0.3">
      <c r="F59" s="25" t="s">
        <v>185</v>
      </c>
      <c r="G59" s="1" t="s">
        <v>96</v>
      </c>
      <c r="H59" s="27" t="s">
        <v>52</v>
      </c>
      <c r="I59" s="1" t="s">
        <v>186</v>
      </c>
      <c r="J59" s="1">
        <v>1</v>
      </c>
      <c r="K59" s="28">
        <v>134400</v>
      </c>
      <c r="L59" s="28">
        <v>134400</v>
      </c>
    </row>
    <row r="60" spans="6:12" ht="15.6" x14ac:dyDescent="0.3">
      <c r="F60" s="25" t="s">
        <v>185</v>
      </c>
      <c r="G60" s="1" t="s">
        <v>98</v>
      </c>
      <c r="H60" s="27" t="s">
        <v>53</v>
      </c>
      <c r="I60" s="1" t="s">
        <v>186</v>
      </c>
      <c r="J60" s="1">
        <v>22</v>
      </c>
      <c r="K60" s="28">
        <v>4800</v>
      </c>
      <c r="L60" s="28">
        <v>105600</v>
      </c>
    </row>
    <row r="61" spans="6:12" ht="15.6" x14ac:dyDescent="0.3">
      <c r="F61" s="25" t="s">
        <v>185</v>
      </c>
      <c r="G61" s="1" t="s">
        <v>84</v>
      </c>
      <c r="H61" s="27" t="s">
        <v>59</v>
      </c>
      <c r="I61" s="1" t="s">
        <v>186</v>
      </c>
      <c r="J61" s="1">
        <v>9</v>
      </c>
      <c r="K61" s="28">
        <v>6800</v>
      </c>
      <c r="L61" s="28">
        <v>61200</v>
      </c>
    </row>
    <row r="62" spans="6:12" ht="15.6" x14ac:dyDescent="0.3">
      <c r="F62" s="25" t="s">
        <v>185</v>
      </c>
      <c r="G62" s="1" t="s">
        <v>124</v>
      </c>
      <c r="H62" s="27" t="s">
        <v>74</v>
      </c>
      <c r="I62" s="1" t="s">
        <v>187</v>
      </c>
      <c r="J62" s="1">
        <v>86</v>
      </c>
      <c r="K62" s="28">
        <v>131500</v>
      </c>
      <c r="L62" s="28">
        <v>11309000</v>
      </c>
    </row>
    <row r="63" spans="6:12" ht="15.6" x14ac:dyDescent="0.3">
      <c r="F63" s="25" t="s">
        <v>185</v>
      </c>
      <c r="G63" s="1" t="s">
        <v>85</v>
      </c>
      <c r="H63" s="27" t="s">
        <v>61</v>
      </c>
      <c r="I63" s="1" t="s">
        <v>186</v>
      </c>
      <c r="J63" s="1">
        <v>54</v>
      </c>
      <c r="K63" s="28">
        <v>169000</v>
      </c>
      <c r="L63" s="28">
        <v>9126000</v>
      </c>
    </row>
    <row r="64" spans="6:12" ht="15.6" x14ac:dyDescent="0.3">
      <c r="F64" s="25" t="s">
        <v>185</v>
      </c>
      <c r="G64" s="1" t="s">
        <v>114</v>
      </c>
      <c r="H64" s="27" t="s">
        <v>60</v>
      </c>
      <c r="I64" s="1" t="s">
        <v>186</v>
      </c>
      <c r="J64" s="1">
        <v>30</v>
      </c>
      <c r="K64" s="28">
        <v>65200</v>
      </c>
      <c r="L64" s="28">
        <v>1956000</v>
      </c>
    </row>
    <row r="65" spans="6:12" ht="15.6" x14ac:dyDescent="0.3">
      <c r="F65" s="25" t="s">
        <v>185</v>
      </c>
      <c r="G65" s="1" t="s">
        <v>115</v>
      </c>
      <c r="H65" s="27" t="s">
        <v>74</v>
      </c>
      <c r="I65" s="1" t="s">
        <v>186</v>
      </c>
      <c r="J65" s="1">
        <v>46</v>
      </c>
      <c r="K65" s="28">
        <v>182400</v>
      </c>
      <c r="L65" s="28">
        <v>8390400</v>
      </c>
    </row>
    <row r="66" spans="6:12" ht="15.6" x14ac:dyDescent="0.3">
      <c r="F66" s="25" t="s">
        <v>185</v>
      </c>
      <c r="G66" s="1" t="s">
        <v>30</v>
      </c>
      <c r="H66" s="27" t="s">
        <v>43</v>
      </c>
      <c r="I66" s="1" t="s">
        <v>186</v>
      </c>
      <c r="J66" s="1">
        <v>200</v>
      </c>
      <c r="K66" s="28">
        <v>190200</v>
      </c>
      <c r="L66" s="28">
        <v>38040000</v>
      </c>
    </row>
    <row r="67" spans="6:12" ht="15.6" x14ac:dyDescent="0.3">
      <c r="F67" s="25" t="s">
        <v>185</v>
      </c>
      <c r="G67" s="1" t="s">
        <v>119</v>
      </c>
      <c r="H67" s="27" t="s">
        <v>77</v>
      </c>
      <c r="I67" s="1" t="s">
        <v>186</v>
      </c>
      <c r="J67" s="1">
        <v>64</v>
      </c>
      <c r="K67" s="28">
        <v>16100</v>
      </c>
      <c r="L67" s="28">
        <v>1030400</v>
      </c>
    </row>
    <row r="68" spans="6:12" ht="15.6" x14ac:dyDescent="0.3">
      <c r="F68" s="25" t="s">
        <v>185</v>
      </c>
      <c r="G68" s="1" t="s">
        <v>121</v>
      </c>
      <c r="H68" s="27" t="s">
        <v>62</v>
      </c>
      <c r="I68" s="1" t="s">
        <v>186</v>
      </c>
      <c r="J68" s="1">
        <v>13</v>
      </c>
      <c r="K68" s="28">
        <v>157300</v>
      </c>
      <c r="L68" s="28">
        <v>2044900</v>
      </c>
    </row>
    <row r="69" spans="6:12" ht="15.6" x14ac:dyDescent="0.3">
      <c r="F69" s="25" t="s">
        <v>185</v>
      </c>
      <c r="G69" s="1" t="s">
        <v>123</v>
      </c>
      <c r="H69" s="27" t="s">
        <v>48</v>
      </c>
      <c r="I69" s="1" t="s">
        <v>186</v>
      </c>
      <c r="J69" s="1">
        <v>55</v>
      </c>
      <c r="K69" s="28">
        <v>179000</v>
      </c>
      <c r="L69" s="28">
        <v>9845000</v>
      </c>
    </row>
    <row r="70" spans="6:12" ht="15.6" x14ac:dyDescent="0.3">
      <c r="F70" s="25" t="s">
        <v>185</v>
      </c>
      <c r="G70" s="1" t="s">
        <v>154</v>
      </c>
      <c r="H70" s="27" t="s">
        <v>77</v>
      </c>
      <c r="I70" s="1" t="s">
        <v>186</v>
      </c>
      <c r="J70" s="1">
        <v>76</v>
      </c>
      <c r="K70" s="28">
        <v>9800</v>
      </c>
      <c r="L70" s="28">
        <v>744800</v>
      </c>
    </row>
    <row r="71" spans="6:12" ht="15.6" x14ac:dyDescent="0.3">
      <c r="F71" s="25" t="s">
        <v>185</v>
      </c>
      <c r="G71" s="1" t="s">
        <v>97</v>
      </c>
      <c r="H71" s="27" t="s">
        <v>42</v>
      </c>
      <c r="I71" s="1" t="s">
        <v>187</v>
      </c>
      <c r="J71" s="1">
        <v>54</v>
      </c>
      <c r="K71" s="28">
        <v>152300</v>
      </c>
      <c r="L71" s="28">
        <v>8224200</v>
      </c>
    </row>
    <row r="72" spans="6:12" ht="15.6" x14ac:dyDescent="0.3">
      <c r="F72" s="25" t="s">
        <v>185</v>
      </c>
      <c r="G72" s="1" t="s">
        <v>145</v>
      </c>
      <c r="H72" s="27" t="s">
        <v>171</v>
      </c>
      <c r="I72" s="1" t="s">
        <v>187</v>
      </c>
      <c r="J72" s="1">
        <v>167</v>
      </c>
      <c r="K72" s="28">
        <v>5400</v>
      </c>
      <c r="L72" s="28">
        <v>901800</v>
      </c>
    </row>
    <row r="73" spans="6:12" ht="15.6" x14ac:dyDescent="0.3">
      <c r="F73" s="25" t="s">
        <v>185</v>
      </c>
      <c r="G73" s="1" t="s">
        <v>82</v>
      </c>
      <c r="H73" s="27" t="s">
        <v>64</v>
      </c>
      <c r="I73" s="1" t="s">
        <v>186</v>
      </c>
      <c r="J73" s="1">
        <v>95</v>
      </c>
      <c r="K73" s="28">
        <v>135300</v>
      </c>
      <c r="L73" s="28">
        <v>12853500</v>
      </c>
    </row>
    <row r="74" spans="6:12" ht="15.6" x14ac:dyDescent="0.3">
      <c r="F74" s="25" t="s">
        <v>185</v>
      </c>
      <c r="G74" s="1" t="s">
        <v>133</v>
      </c>
      <c r="H74" s="27" t="s">
        <v>37</v>
      </c>
      <c r="I74" s="1" t="s">
        <v>186</v>
      </c>
      <c r="J74" s="1">
        <v>6</v>
      </c>
      <c r="K74" s="28">
        <v>15700</v>
      </c>
      <c r="L74" s="28">
        <v>94200</v>
      </c>
    </row>
    <row r="75" spans="6:12" ht="15.6" x14ac:dyDescent="0.3">
      <c r="F75" s="25" t="s">
        <v>185</v>
      </c>
      <c r="G75" s="1" t="s">
        <v>120</v>
      </c>
      <c r="H75" s="27" t="s">
        <v>41</v>
      </c>
      <c r="I75" s="1" t="s">
        <v>186</v>
      </c>
      <c r="J75" s="1">
        <v>34</v>
      </c>
      <c r="K75" s="28">
        <v>37300</v>
      </c>
      <c r="L75" s="28">
        <v>1268200</v>
      </c>
    </row>
    <row r="76" spans="6:12" ht="15.6" x14ac:dyDescent="0.3">
      <c r="F76" s="25" t="s">
        <v>185</v>
      </c>
      <c r="G76" s="1" t="s">
        <v>191</v>
      </c>
      <c r="H76" s="27" t="s">
        <v>192</v>
      </c>
      <c r="I76" s="1" t="s">
        <v>187</v>
      </c>
      <c r="J76" s="1">
        <v>280</v>
      </c>
      <c r="K76" s="28">
        <v>5000</v>
      </c>
      <c r="L76" s="28">
        <v>1400000</v>
      </c>
    </row>
    <row r="77" spans="6:12" ht="15.6" x14ac:dyDescent="0.3">
      <c r="F77" s="25" t="s">
        <v>185</v>
      </c>
      <c r="G77" s="1" t="s">
        <v>159</v>
      </c>
      <c r="H77" s="27" t="s">
        <v>169</v>
      </c>
      <c r="I77" s="1" t="s">
        <v>187</v>
      </c>
      <c r="J77" s="1">
        <v>150</v>
      </c>
      <c r="K77" s="28">
        <v>60000</v>
      </c>
      <c r="L77" s="28">
        <v>9000000</v>
      </c>
    </row>
    <row r="78" spans="6:12" ht="15.6" x14ac:dyDescent="0.3">
      <c r="F78" s="25" t="s">
        <v>185</v>
      </c>
      <c r="G78" s="1" t="s">
        <v>101</v>
      </c>
      <c r="H78" s="27" t="s">
        <v>167</v>
      </c>
      <c r="I78" s="1" t="s">
        <v>187</v>
      </c>
      <c r="J78" s="1">
        <v>25</v>
      </c>
      <c r="K78" s="28">
        <v>5600</v>
      </c>
      <c r="L78" s="28">
        <v>140000</v>
      </c>
    </row>
    <row r="79" spans="6:12" ht="15.6" x14ac:dyDescent="0.3">
      <c r="F79" s="25" t="s">
        <v>185</v>
      </c>
      <c r="G79" s="1" t="s">
        <v>119</v>
      </c>
      <c r="H79" s="27" t="s">
        <v>77</v>
      </c>
      <c r="I79" s="1" t="s">
        <v>186</v>
      </c>
      <c r="J79" s="1">
        <v>53</v>
      </c>
      <c r="K79" s="28">
        <v>16100</v>
      </c>
      <c r="L79" s="28">
        <v>853300</v>
      </c>
    </row>
    <row r="80" spans="6:12" ht="15.6" x14ac:dyDescent="0.3">
      <c r="F80" s="25" t="s">
        <v>185</v>
      </c>
      <c r="G80" s="1" t="s">
        <v>142</v>
      </c>
      <c r="H80" s="27" t="s">
        <v>170</v>
      </c>
      <c r="I80" s="1" t="s">
        <v>187</v>
      </c>
      <c r="J80" s="1">
        <v>71</v>
      </c>
      <c r="K80" s="28">
        <v>68300</v>
      </c>
      <c r="L80" s="28">
        <v>4849300</v>
      </c>
    </row>
    <row r="81" spans="6:12" ht="15.6" x14ac:dyDescent="0.3">
      <c r="F81" s="25">
        <v>45728</v>
      </c>
      <c r="G81" s="1" t="s">
        <v>81</v>
      </c>
      <c r="H81" s="27" t="s">
        <v>49</v>
      </c>
      <c r="I81" s="1" t="s">
        <v>186</v>
      </c>
      <c r="J81" s="1">
        <v>10</v>
      </c>
      <c r="K81" s="28">
        <v>37900</v>
      </c>
      <c r="L81" s="28">
        <v>379000</v>
      </c>
    </row>
    <row r="82" spans="6:12" ht="15.6" x14ac:dyDescent="0.3">
      <c r="F82" s="25">
        <v>45759</v>
      </c>
      <c r="G82" s="1" t="s">
        <v>162</v>
      </c>
      <c r="H82" s="27" t="s">
        <v>56</v>
      </c>
      <c r="I82" s="1" t="s">
        <v>186</v>
      </c>
      <c r="J82" s="1">
        <v>31</v>
      </c>
      <c r="K82" s="28">
        <v>98100</v>
      </c>
      <c r="L82" s="28">
        <v>3041100</v>
      </c>
    </row>
    <row r="83" spans="6:12" ht="15.6" x14ac:dyDescent="0.3">
      <c r="F83" s="59">
        <v>45820</v>
      </c>
      <c r="G83" s="60" t="s">
        <v>23</v>
      </c>
      <c r="H83" s="61" t="s">
        <v>38</v>
      </c>
      <c r="I83" s="62" t="s">
        <v>186</v>
      </c>
      <c r="J83" s="62">
        <v>5</v>
      </c>
      <c r="K83" s="63">
        <v>147600</v>
      </c>
      <c r="L83" s="63">
        <v>738000</v>
      </c>
    </row>
    <row r="84" spans="6:12" ht="15.6" x14ac:dyDescent="0.3">
      <c r="F84" s="59">
        <v>45820</v>
      </c>
      <c r="G84" s="60" t="s">
        <v>82</v>
      </c>
      <c r="H84" s="61" t="s">
        <v>64</v>
      </c>
      <c r="I84" s="62" t="s">
        <v>187</v>
      </c>
      <c r="J84" s="62">
        <v>4</v>
      </c>
      <c r="K84" s="63">
        <v>135300</v>
      </c>
      <c r="L84" s="63">
        <v>541200</v>
      </c>
    </row>
    <row r="87" spans="6:12" ht="15.6" x14ac:dyDescent="0.3">
      <c r="F87" s="21"/>
      <c r="G87" s="22"/>
      <c r="H87" s="23"/>
      <c r="I87" s="22"/>
      <c r="J87" s="22"/>
      <c r="K87" s="24"/>
      <c r="L87" s="24"/>
    </row>
    <row r="88" spans="6:12" ht="15.6" x14ac:dyDescent="0.3">
      <c r="F88" s="21"/>
      <c r="G88" s="22"/>
      <c r="H88" s="23"/>
      <c r="I88" s="22"/>
      <c r="J88" s="22"/>
      <c r="K88" s="24"/>
      <c r="L88" s="24"/>
    </row>
    <row r="89" spans="6:12" ht="15.6" x14ac:dyDescent="0.3">
      <c r="F89" s="21"/>
      <c r="G89" s="22"/>
      <c r="H89" s="23"/>
      <c r="I89" s="22"/>
      <c r="J89" s="22"/>
      <c r="K89" s="24"/>
      <c r="L89" s="24"/>
    </row>
    <row r="90" spans="6:12" ht="15.6" x14ac:dyDescent="0.3">
      <c r="F90" s="21"/>
      <c r="G90" s="22"/>
      <c r="H90" s="23"/>
      <c r="I90" s="22"/>
      <c r="J90" s="22"/>
      <c r="K90" s="24"/>
      <c r="L90" s="24"/>
    </row>
    <row r="91" spans="6:12" ht="15.6" x14ac:dyDescent="0.3">
      <c r="F91" s="21"/>
      <c r="G91" s="22"/>
      <c r="H91" s="23"/>
      <c r="I91" s="22"/>
      <c r="J91" s="22"/>
      <c r="K91" s="24"/>
      <c r="L91" s="24"/>
    </row>
    <row r="92" spans="6:12" ht="15.6" x14ac:dyDescent="0.3">
      <c r="F92" s="21"/>
      <c r="G92" s="22"/>
      <c r="H92" s="23"/>
      <c r="I92" s="22"/>
      <c r="J92" s="22"/>
      <c r="K92" s="24"/>
      <c r="L92" s="24"/>
    </row>
    <row r="93" spans="6:12" ht="15.6" x14ac:dyDescent="0.3">
      <c r="F93" s="21"/>
      <c r="G93" s="22"/>
      <c r="H93" s="23"/>
      <c r="I93" s="22"/>
      <c r="J93" s="22"/>
      <c r="K93" s="24"/>
      <c r="L93" s="24"/>
    </row>
    <row r="94" spans="6:12" ht="15.6" x14ac:dyDescent="0.3">
      <c r="F94" s="21"/>
      <c r="G94" s="22"/>
      <c r="H94" s="23"/>
      <c r="I94" s="22"/>
      <c r="J94" s="22"/>
      <c r="K94" s="24"/>
      <c r="L94" s="24"/>
    </row>
    <row r="95" spans="6:12" ht="15.6" x14ac:dyDescent="0.3">
      <c r="F95" s="21"/>
      <c r="G95" s="22"/>
      <c r="H95" s="23"/>
      <c r="I95" s="22"/>
      <c r="J95" s="22"/>
      <c r="K95" s="24"/>
      <c r="L95" s="24"/>
    </row>
    <row r="96" spans="6:12" ht="15.6" x14ac:dyDescent="0.3">
      <c r="F96" s="21"/>
      <c r="G96" s="22"/>
      <c r="H96" s="23"/>
      <c r="I96" s="22"/>
      <c r="J96" s="22"/>
      <c r="K96" s="24"/>
      <c r="L96" s="24"/>
    </row>
    <row r="97" spans="6:12" ht="15.6" x14ac:dyDescent="0.3">
      <c r="F97" s="21"/>
      <c r="G97" s="22"/>
      <c r="H97" s="23"/>
      <c r="I97" s="22"/>
      <c r="J97" s="22"/>
      <c r="K97" s="24"/>
      <c r="L97" s="24"/>
    </row>
    <row r="98" spans="6:12" ht="15.6" x14ac:dyDescent="0.3">
      <c r="F98" s="21"/>
      <c r="G98" s="22"/>
      <c r="H98" s="23"/>
      <c r="I98" s="22"/>
      <c r="J98" s="22"/>
      <c r="K98" s="24"/>
      <c r="L98" s="24"/>
    </row>
    <row r="99" spans="6:12" ht="15.6" x14ac:dyDescent="0.3">
      <c r="F99" s="21"/>
      <c r="G99" s="22"/>
      <c r="H99" s="23"/>
      <c r="I99" s="22"/>
      <c r="J99" s="22"/>
      <c r="K99" s="24"/>
      <c r="L99" s="24"/>
    </row>
    <row r="100" spans="6:12" ht="15.6" x14ac:dyDescent="0.3">
      <c r="F100" s="21"/>
      <c r="G100" s="22"/>
      <c r="H100" s="23"/>
      <c r="I100" s="22"/>
      <c r="J100" s="22"/>
      <c r="K100" s="24"/>
      <c r="L100" s="24"/>
    </row>
    <row r="101" spans="6:12" ht="15.6" x14ac:dyDescent="0.3">
      <c r="F101" s="21"/>
      <c r="G101" s="22"/>
      <c r="H101" s="23"/>
      <c r="I101" s="22"/>
      <c r="J101" s="22"/>
      <c r="K101" s="24"/>
      <c r="L101" s="24"/>
    </row>
    <row r="102" spans="6:12" ht="15.6" x14ac:dyDescent="0.3">
      <c r="F102" s="21"/>
      <c r="G102" s="22"/>
      <c r="H102" s="23"/>
      <c r="I102" s="22"/>
      <c r="J102" s="22"/>
      <c r="K102" s="24"/>
      <c r="L102" s="24"/>
    </row>
    <row r="103" spans="6:12" ht="15.6" x14ac:dyDescent="0.3">
      <c r="F103" s="21"/>
      <c r="G103" s="22"/>
      <c r="H103" s="23"/>
      <c r="I103" s="22"/>
      <c r="J103" s="22"/>
      <c r="K103" s="24"/>
      <c r="L103" s="24"/>
    </row>
    <row r="104" spans="6:12" ht="15.6" x14ac:dyDescent="0.3">
      <c r="F104" s="21"/>
      <c r="G104" s="22"/>
      <c r="H104" s="23"/>
      <c r="I104" s="22"/>
      <c r="J104" s="22"/>
      <c r="K104" s="24"/>
      <c r="L104" s="24"/>
    </row>
    <row r="105" spans="6:12" ht="15.6" x14ac:dyDescent="0.3">
      <c r="F105" s="21"/>
      <c r="G105" s="22"/>
      <c r="H105" s="23"/>
      <c r="I105" s="22"/>
      <c r="J105" s="22"/>
      <c r="K105" s="24"/>
      <c r="L105" s="24"/>
    </row>
    <row r="106" spans="6:12" ht="15.6" x14ac:dyDescent="0.3">
      <c r="F106" s="21"/>
      <c r="G106" s="22"/>
      <c r="H106" s="23"/>
      <c r="I106" s="22"/>
      <c r="J106" s="22"/>
      <c r="K106" s="24"/>
      <c r="L106" s="24"/>
    </row>
    <row r="107" spans="6:12" ht="15.6" x14ac:dyDescent="0.3">
      <c r="F107" s="21"/>
      <c r="G107" s="22"/>
      <c r="H107" s="23"/>
      <c r="I107" s="22"/>
      <c r="J107" s="22"/>
      <c r="K107" s="24"/>
      <c r="L107" s="24"/>
    </row>
    <row r="108" spans="6:12" ht="15.6" x14ac:dyDescent="0.3">
      <c r="F108" s="21"/>
      <c r="G108" s="22"/>
      <c r="H108" s="23"/>
      <c r="I108" s="22"/>
      <c r="J108" s="22"/>
      <c r="K108" s="24"/>
      <c r="L108" s="24"/>
    </row>
    <row r="109" spans="6:12" ht="15.6" x14ac:dyDescent="0.3">
      <c r="F109" s="21"/>
      <c r="G109" s="22"/>
      <c r="H109" s="23"/>
      <c r="I109" s="22"/>
      <c r="J109" s="22"/>
      <c r="K109" s="24"/>
      <c r="L109" s="24"/>
    </row>
    <row r="110" spans="6:12" ht="15.6" x14ac:dyDescent="0.3">
      <c r="F110" s="21"/>
      <c r="G110" s="22"/>
      <c r="H110" s="23"/>
      <c r="I110" s="22"/>
      <c r="J110" s="22"/>
      <c r="K110" s="24"/>
      <c r="L110" s="24"/>
    </row>
    <row r="111" spans="6:12" ht="15.6" x14ac:dyDescent="0.3">
      <c r="F111" s="21"/>
      <c r="G111" s="22"/>
      <c r="H111" s="23"/>
      <c r="I111" s="22"/>
      <c r="J111" s="22"/>
      <c r="K111" s="24"/>
      <c r="L111" s="24"/>
    </row>
    <row r="112" spans="6:12" ht="15.6" x14ac:dyDescent="0.3">
      <c r="F112" s="21"/>
      <c r="G112" s="22"/>
      <c r="H112" s="23"/>
      <c r="I112" s="22"/>
      <c r="J112" s="22"/>
      <c r="K112" s="24"/>
      <c r="L112" s="24"/>
    </row>
    <row r="113" spans="6:12" ht="15.6" x14ac:dyDescent="0.3">
      <c r="F113" s="21"/>
      <c r="G113" s="22"/>
      <c r="H113" s="23"/>
      <c r="I113" s="22"/>
      <c r="J113" s="22"/>
      <c r="K113" s="24"/>
      <c r="L113" s="24"/>
    </row>
    <row r="114" spans="6:12" ht="15.6" x14ac:dyDescent="0.3">
      <c r="F114" s="21"/>
      <c r="G114" s="22"/>
      <c r="H114" s="23"/>
      <c r="I114" s="22"/>
      <c r="J114" s="22"/>
      <c r="K114" s="24"/>
      <c r="L114" s="24"/>
    </row>
    <row r="115" spans="6:12" ht="15.6" x14ac:dyDescent="0.3">
      <c r="F115" s="21"/>
      <c r="G115" s="22"/>
      <c r="H115" s="23"/>
      <c r="I115" s="22"/>
      <c r="J115" s="22"/>
      <c r="K115" s="24"/>
      <c r="L115" s="24"/>
    </row>
    <row r="116" spans="6:12" ht="15.6" x14ac:dyDescent="0.3">
      <c r="F116" s="21"/>
      <c r="G116" s="22"/>
      <c r="H116" s="23"/>
      <c r="I116" s="22"/>
      <c r="J116" s="22"/>
      <c r="K116" s="24"/>
      <c r="L116" s="24"/>
    </row>
    <row r="117" spans="6:12" ht="15.6" x14ac:dyDescent="0.3">
      <c r="F117" s="21"/>
      <c r="G117" s="22"/>
      <c r="H117" s="23"/>
      <c r="I117" s="22"/>
      <c r="J117" s="22"/>
      <c r="K117" s="24"/>
      <c r="L117" s="24"/>
    </row>
    <row r="118" spans="6:12" ht="15.6" x14ac:dyDescent="0.3">
      <c r="F118" s="21"/>
      <c r="G118" s="22"/>
      <c r="H118" s="23"/>
      <c r="I118" s="22"/>
      <c r="J118" s="22"/>
      <c r="K118" s="24"/>
      <c r="L118" s="24"/>
    </row>
    <row r="119" spans="6:12" ht="15.6" x14ac:dyDescent="0.3">
      <c r="F119" s="21"/>
      <c r="G119" s="22"/>
      <c r="H119" s="23"/>
      <c r="I119" s="22"/>
      <c r="J119" s="22"/>
      <c r="K119" s="24"/>
      <c r="L119" s="24"/>
    </row>
    <row r="120" spans="6:12" ht="15.6" x14ac:dyDescent="0.3">
      <c r="F120" s="21"/>
      <c r="G120" s="22"/>
      <c r="H120" s="23"/>
      <c r="I120" s="22"/>
      <c r="J120" s="22"/>
      <c r="K120" s="24"/>
      <c r="L120" s="24"/>
    </row>
    <row r="121" spans="6:12" ht="15.6" x14ac:dyDescent="0.3">
      <c r="F121" s="21"/>
      <c r="G121" s="22"/>
      <c r="H121" s="23"/>
      <c r="I121" s="22"/>
      <c r="J121" s="22"/>
      <c r="K121" s="24"/>
      <c r="L121" s="24"/>
    </row>
    <row r="122" spans="6:12" ht="15.6" x14ac:dyDescent="0.3">
      <c r="F122" s="21"/>
      <c r="G122" s="22"/>
      <c r="H122" s="23"/>
      <c r="I122" s="22"/>
      <c r="J122" s="22"/>
      <c r="K122" s="24"/>
      <c r="L122" s="24"/>
    </row>
    <row r="123" spans="6:12" ht="15.6" x14ac:dyDescent="0.3">
      <c r="F123" s="21"/>
      <c r="G123" s="22"/>
      <c r="H123" s="23"/>
      <c r="I123" s="22"/>
      <c r="J123" s="22"/>
      <c r="K123" s="24"/>
      <c r="L123" s="24"/>
    </row>
    <row r="124" spans="6:12" ht="15.6" x14ac:dyDescent="0.3">
      <c r="F124" s="21"/>
      <c r="G124" s="22"/>
      <c r="H124" s="23"/>
      <c r="I124" s="22"/>
      <c r="J124" s="22"/>
      <c r="K124" s="24"/>
      <c r="L124" s="24"/>
    </row>
    <row r="125" spans="6:12" ht="15.6" x14ac:dyDescent="0.3">
      <c r="F125" s="21"/>
      <c r="G125" s="22"/>
      <c r="H125" s="23"/>
      <c r="I125" s="22"/>
      <c r="J125" s="22"/>
      <c r="K125" s="24"/>
      <c r="L125" s="24"/>
    </row>
    <row r="126" spans="6:12" ht="15.6" x14ac:dyDescent="0.3">
      <c r="F126" s="21"/>
      <c r="G126" s="22"/>
      <c r="H126" s="23"/>
      <c r="I126" s="22"/>
      <c r="J126" s="22"/>
      <c r="K126" s="24"/>
      <c r="L126" s="24"/>
    </row>
    <row r="127" spans="6:12" ht="15.6" x14ac:dyDescent="0.3">
      <c r="F127" s="21"/>
      <c r="G127" s="22"/>
      <c r="H127" s="23"/>
      <c r="I127" s="22"/>
      <c r="J127" s="22"/>
      <c r="K127" s="24"/>
      <c r="L127" s="24"/>
    </row>
    <row r="128" spans="6:12" ht="15.6" x14ac:dyDescent="0.3">
      <c r="F128" s="21"/>
      <c r="G128" s="22"/>
      <c r="H128" s="23"/>
      <c r="I128" s="22"/>
      <c r="J128" s="22"/>
      <c r="K128" s="24"/>
      <c r="L128" s="24"/>
    </row>
    <row r="129" spans="6:12" ht="15.6" x14ac:dyDescent="0.3">
      <c r="F129" s="21"/>
      <c r="G129" s="22"/>
      <c r="H129" s="23"/>
      <c r="I129" s="22"/>
      <c r="J129" s="22"/>
      <c r="K129" s="24"/>
      <c r="L129" s="24"/>
    </row>
    <row r="130" spans="6:12" ht="15.6" x14ac:dyDescent="0.3">
      <c r="F130" s="21"/>
      <c r="G130" s="22"/>
      <c r="H130" s="23"/>
      <c r="I130" s="22"/>
      <c r="J130" s="22"/>
      <c r="K130" s="24"/>
      <c r="L130" s="24"/>
    </row>
    <row r="131" spans="6:12" ht="15.6" x14ac:dyDescent="0.3">
      <c r="F131" s="21"/>
      <c r="G131" s="22"/>
      <c r="H131" s="23"/>
      <c r="I131" s="22"/>
      <c r="J131" s="22"/>
      <c r="K131" s="24"/>
      <c r="L131" s="24"/>
    </row>
    <row r="132" spans="6:12" ht="15.6" x14ac:dyDescent="0.3">
      <c r="F132" s="21"/>
      <c r="G132" s="22"/>
      <c r="H132" s="23"/>
      <c r="I132" s="22"/>
      <c r="J132" s="22"/>
      <c r="K132" s="24"/>
      <c r="L132" s="24"/>
    </row>
  </sheetData>
  <dataValidations count="1">
    <dataValidation type="list" allowBlank="1" showInputMessage="1" showErrorMessage="1" sqref="I12:I84" xr:uid="{A1D75DB0-19D1-4577-BFB3-93FFD7F4F5B3}">
      <formula1>"Masuk,Keluar"</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90D0C5D-9CFD-4673-8B37-72F278229A0A}">
          <x14:formula1>
            <xm:f>'Master Barang'!#REF!</xm:f>
          </x14:formula1>
          <xm:sqref>G12:G84</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ECB35-547F-4C8B-8D5A-7C810B2481EB}">
  <sheetPr codeName="Sheet2"/>
  <dimension ref="F8:M118"/>
  <sheetViews>
    <sheetView showGridLines="0" showRowColHeaders="0" zoomScaleNormal="100" workbookViewId="0"/>
  </sheetViews>
  <sheetFormatPr defaultRowHeight="14.4" x14ac:dyDescent="0.3"/>
  <cols>
    <col min="1" max="1" width="8.88671875" customWidth="1"/>
    <col min="6" max="6" width="17.77734375" bestFit="1" customWidth="1"/>
    <col min="7" max="7" width="18.109375" bestFit="1" customWidth="1"/>
    <col min="8" max="8" width="17.33203125" bestFit="1" customWidth="1"/>
    <col min="9" max="9" width="17" bestFit="1" customWidth="1"/>
    <col min="10" max="10" width="15.109375" bestFit="1" customWidth="1"/>
    <col min="11" max="11" width="15.6640625" bestFit="1" customWidth="1"/>
    <col min="12" max="12" width="19.109375" bestFit="1" customWidth="1"/>
    <col min="13" max="13" width="11.33203125" bestFit="1" customWidth="1"/>
    <col min="14" max="14" width="13.44140625" customWidth="1"/>
    <col min="15" max="15" width="16.77734375" bestFit="1" customWidth="1"/>
    <col min="16" max="17" width="16.21875" bestFit="1" customWidth="1"/>
    <col min="18" max="18" width="11.77734375" bestFit="1" customWidth="1"/>
  </cols>
  <sheetData>
    <row r="8" spans="6:13" ht="15.6" x14ac:dyDescent="0.3">
      <c r="F8" s="27"/>
      <c r="G8" s="29"/>
      <c r="H8" s="1"/>
      <c r="I8" s="1"/>
      <c r="K8" s="30"/>
      <c r="M8" s="1"/>
    </row>
    <row r="9" spans="6:13" ht="15.6" x14ac:dyDescent="0.3">
      <c r="F9" s="27"/>
      <c r="G9" s="29"/>
      <c r="H9" s="1"/>
      <c r="I9" s="1"/>
      <c r="K9" s="30"/>
      <c r="M9" s="1"/>
    </row>
    <row r="10" spans="6:13" ht="15.6" x14ac:dyDescent="0.3">
      <c r="F10" s="27"/>
      <c r="G10" s="29"/>
      <c r="H10" s="1"/>
      <c r="I10" s="1"/>
      <c r="K10" s="30"/>
      <c r="M10" s="1"/>
    </row>
    <row r="11" spans="6:13" ht="15.6" x14ac:dyDescent="0.3">
      <c r="F11" s="1" t="s">
        <v>0</v>
      </c>
      <c r="G11" s="22" t="s">
        <v>176</v>
      </c>
      <c r="H11" s="22" t="s">
        <v>177</v>
      </c>
      <c r="I11" s="22" t="s">
        <v>178</v>
      </c>
      <c r="J11" s="22" t="s">
        <v>4</v>
      </c>
      <c r="K11" s="22" t="s">
        <v>179</v>
      </c>
      <c r="L11" s="22" t="s">
        <v>5</v>
      </c>
      <c r="M11" s="22" t="s">
        <v>180</v>
      </c>
    </row>
    <row r="12" spans="6:13" ht="15.6" x14ac:dyDescent="0.3">
      <c r="F12" s="22" t="s">
        <v>78</v>
      </c>
      <c r="G12" s="22" t="s">
        <v>40</v>
      </c>
      <c r="H12" s="1">
        <v>0</v>
      </c>
      <c r="I12" s="1">
        <v>0</v>
      </c>
      <c r="J12" s="22">
        <v>255</v>
      </c>
      <c r="K12" s="22">
        <v>255</v>
      </c>
      <c r="L12" s="22">
        <v>10</v>
      </c>
      <c r="M12" s="1" t="s">
        <v>182</v>
      </c>
    </row>
    <row r="13" spans="6:13" ht="15.6" x14ac:dyDescent="0.3">
      <c r="F13" s="55" t="s">
        <v>79</v>
      </c>
      <c r="G13" s="55" t="s">
        <v>72</v>
      </c>
      <c r="H13" s="1">
        <v>0</v>
      </c>
      <c r="I13" s="1">
        <v>100</v>
      </c>
      <c r="J13" s="22">
        <v>100</v>
      </c>
      <c r="K13" s="22">
        <v>0</v>
      </c>
      <c r="L13" s="22">
        <v>10</v>
      </c>
      <c r="M13" s="1" t="s">
        <v>181</v>
      </c>
    </row>
    <row r="14" spans="6:13" ht="15.6" x14ac:dyDescent="0.3">
      <c r="F14" s="55" t="s">
        <v>80</v>
      </c>
      <c r="G14" s="55" t="s">
        <v>50</v>
      </c>
      <c r="H14" s="1">
        <v>0</v>
      </c>
      <c r="I14" s="1">
        <v>45</v>
      </c>
      <c r="J14" s="22">
        <v>50</v>
      </c>
      <c r="K14" s="22">
        <v>5</v>
      </c>
      <c r="L14" s="22">
        <v>10</v>
      </c>
      <c r="M14" s="1" t="s">
        <v>188</v>
      </c>
    </row>
    <row r="15" spans="6:13" ht="15.6" x14ac:dyDescent="0.3">
      <c r="F15" s="22" t="s">
        <v>81</v>
      </c>
      <c r="G15" s="22" t="s">
        <v>49</v>
      </c>
      <c r="H15" s="1">
        <v>92</v>
      </c>
      <c r="I15" s="1">
        <v>0</v>
      </c>
      <c r="J15" s="32">
        <v>186</v>
      </c>
      <c r="K15" s="32">
        <v>278</v>
      </c>
      <c r="L15" s="32">
        <v>20</v>
      </c>
      <c r="M15" s="1" t="s">
        <v>182</v>
      </c>
    </row>
    <row r="16" spans="6:13" ht="15.6" x14ac:dyDescent="0.3">
      <c r="F16" s="22" t="s">
        <v>23</v>
      </c>
      <c r="G16" s="22" t="s">
        <v>38</v>
      </c>
      <c r="H16" s="1">
        <v>5</v>
      </c>
      <c r="I16" s="1">
        <v>0</v>
      </c>
      <c r="J16" s="32">
        <v>160</v>
      </c>
      <c r="K16" s="32">
        <v>165</v>
      </c>
      <c r="L16" s="32">
        <v>20</v>
      </c>
      <c r="M16" s="1" t="s">
        <v>182</v>
      </c>
    </row>
    <row r="17" spans="6:13" ht="15.6" x14ac:dyDescent="0.3">
      <c r="F17" s="22" t="s">
        <v>82</v>
      </c>
      <c r="G17" s="22" t="s">
        <v>64</v>
      </c>
      <c r="H17" s="1">
        <v>105</v>
      </c>
      <c r="I17" s="1">
        <v>254</v>
      </c>
      <c r="J17" s="32">
        <v>278</v>
      </c>
      <c r="K17" s="32">
        <v>129</v>
      </c>
      <c r="L17" s="32">
        <v>20</v>
      </c>
      <c r="M17" s="1" t="s">
        <v>182</v>
      </c>
    </row>
    <row r="18" spans="6:13" ht="15.6" x14ac:dyDescent="0.3">
      <c r="F18" s="22" t="s">
        <v>83</v>
      </c>
      <c r="G18" s="22" t="s">
        <v>57</v>
      </c>
      <c r="H18" s="1">
        <v>0</v>
      </c>
      <c r="I18" s="1">
        <v>57</v>
      </c>
      <c r="J18" s="33">
        <v>64</v>
      </c>
      <c r="K18" s="33">
        <v>7</v>
      </c>
      <c r="L18" s="34">
        <v>20</v>
      </c>
      <c r="M18" s="1" t="s">
        <v>188</v>
      </c>
    </row>
    <row r="19" spans="6:13" ht="15.6" x14ac:dyDescent="0.3">
      <c r="F19" s="22" t="s">
        <v>84</v>
      </c>
      <c r="G19" s="22" t="s">
        <v>59</v>
      </c>
      <c r="H19" s="1">
        <v>9</v>
      </c>
      <c r="I19" s="1">
        <v>0</v>
      </c>
      <c r="J19" s="32">
        <v>300</v>
      </c>
      <c r="K19" s="32">
        <v>309</v>
      </c>
      <c r="L19" s="32">
        <v>30</v>
      </c>
      <c r="M19" s="1" t="s">
        <v>182</v>
      </c>
    </row>
    <row r="20" spans="6:13" ht="15.6" x14ac:dyDescent="0.3">
      <c r="F20" s="22" t="s">
        <v>85</v>
      </c>
      <c r="G20" s="22" t="s">
        <v>61</v>
      </c>
      <c r="H20" s="1">
        <v>54</v>
      </c>
      <c r="I20" s="1">
        <v>0</v>
      </c>
      <c r="J20" s="32">
        <v>173</v>
      </c>
      <c r="K20" s="32">
        <v>227</v>
      </c>
      <c r="L20" s="32">
        <v>30</v>
      </c>
      <c r="M20" s="1" t="s">
        <v>182</v>
      </c>
    </row>
    <row r="21" spans="6:13" ht="15.6" x14ac:dyDescent="0.3">
      <c r="F21" s="22" t="s">
        <v>24</v>
      </c>
      <c r="G21" s="22" t="s">
        <v>165</v>
      </c>
      <c r="H21" s="1">
        <v>240</v>
      </c>
      <c r="I21" s="1">
        <v>0</v>
      </c>
      <c r="J21" s="32">
        <v>52</v>
      </c>
      <c r="K21" s="32">
        <v>292</v>
      </c>
      <c r="L21" s="32">
        <v>30</v>
      </c>
      <c r="M21" s="1" t="s">
        <v>182</v>
      </c>
    </row>
    <row r="22" spans="6:13" ht="15.6" x14ac:dyDescent="0.3">
      <c r="F22" s="22" t="s">
        <v>86</v>
      </c>
      <c r="G22" s="22" t="s">
        <v>62</v>
      </c>
      <c r="H22" s="1">
        <v>12</v>
      </c>
      <c r="I22" s="1">
        <v>0</v>
      </c>
      <c r="J22" s="32">
        <v>284</v>
      </c>
      <c r="K22" s="32">
        <v>296</v>
      </c>
      <c r="L22" s="32">
        <v>10</v>
      </c>
      <c r="M22" s="1" t="s">
        <v>182</v>
      </c>
    </row>
    <row r="23" spans="6:13" ht="15.6" x14ac:dyDescent="0.3">
      <c r="F23" s="22" t="s">
        <v>87</v>
      </c>
      <c r="G23" s="22" t="s">
        <v>55</v>
      </c>
      <c r="H23" s="1">
        <v>0</v>
      </c>
      <c r="I23" s="1">
        <v>0</v>
      </c>
      <c r="J23" s="32">
        <v>87</v>
      </c>
      <c r="K23" s="32">
        <v>87</v>
      </c>
      <c r="L23" s="32">
        <v>20</v>
      </c>
      <c r="M23" s="1" t="s">
        <v>182</v>
      </c>
    </row>
    <row r="24" spans="6:13" ht="15.6" x14ac:dyDescent="0.3">
      <c r="F24" s="22" t="s">
        <v>88</v>
      </c>
      <c r="G24" s="22" t="s">
        <v>63</v>
      </c>
      <c r="H24" s="1">
        <v>0</v>
      </c>
      <c r="I24" s="1">
        <v>0</v>
      </c>
      <c r="J24" s="32">
        <v>124</v>
      </c>
      <c r="K24" s="32">
        <v>124</v>
      </c>
      <c r="L24" s="32">
        <v>10</v>
      </c>
      <c r="M24" s="1" t="s">
        <v>182</v>
      </c>
    </row>
    <row r="25" spans="6:13" ht="15.6" x14ac:dyDescent="0.3">
      <c r="F25" s="22" t="s">
        <v>89</v>
      </c>
      <c r="G25" s="22" t="s">
        <v>37</v>
      </c>
      <c r="H25" s="1">
        <v>50</v>
      </c>
      <c r="I25" s="1">
        <v>0</v>
      </c>
      <c r="J25" s="32">
        <v>81</v>
      </c>
      <c r="K25" s="32">
        <v>131</v>
      </c>
      <c r="L25" s="32">
        <v>30</v>
      </c>
      <c r="M25" s="1" t="s">
        <v>182</v>
      </c>
    </row>
    <row r="26" spans="6:13" ht="15.6" x14ac:dyDescent="0.3">
      <c r="F26" s="22" t="s">
        <v>25</v>
      </c>
      <c r="G26" s="22" t="s">
        <v>66</v>
      </c>
      <c r="H26" s="1">
        <v>93</v>
      </c>
      <c r="I26" s="1">
        <v>0</v>
      </c>
      <c r="J26" s="32">
        <v>181</v>
      </c>
      <c r="K26" s="32">
        <v>274</v>
      </c>
      <c r="L26" s="32">
        <v>30</v>
      </c>
      <c r="M26" s="1" t="s">
        <v>182</v>
      </c>
    </row>
    <row r="27" spans="6:13" ht="15.6" x14ac:dyDescent="0.3">
      <c r="F27" s="22" t="s">
        <v>90</v>
      </c>
      <c r="G27" s="22" t="s">
        <v>39</v>
      </c>
      <c r="H27" s="1">
        <v>75</v>
      </c>
      <c r="I27" s="1">
        <v>0</v>
      </c>
      <c r="J27" s="32">
        <v>267</v>
      </c>
      <c r="K27" s="32">
        <v>342</v>
      </c>
      <c r="L27" s="32">
        <v>30</v>
      </c>
      <c r="M27" s="1" t="s">
        <v>182</v>
      </c>
    </row>
    <row r="28" spans="6:13" ht="15.6" x14ac:dyDescent="0.3">
      <c r="F28" s="22" t="s">
        <v>91</v>
      </c>
      <c r="G28" s="22" t="s">
        <v>76</v>
      </c>
      <c r="H28" s="1">
        <v>0</v>
      </c>
      <c r="I28" s="1">
        <v>0</v>
      </c>
      <c r="J28" s="32">
        <v>187</v>
      </c>
      <c r="K28" s="32">
        <v>187</v>
      </c>
      <c r="L28" s="32">
        <v>10</v>
      </c>
      <c r="M28" s="1" t="s">
        <v>182</v>
      </c>
    </row>
    <row r="29" spans="6:13" ht="15.6" x14ac:dyDescent="0.3">
      <c r="F29" s="22" t="s">
        <v>26</v>
      </c>
      <c r="G29" s="22" t="s">
        <v>39</v>
      </c>
      <c r="H29" s="1">
        <v>0</v>
      </c>
      <c r="I29" s="1">
        <v>30</v>
      </c>
      <c r="J29" s="32">
        <v>45</v>
      </c>
      <c r="K29" s="32">
        <v>15</v>
      </c>
      <c r="L29" s="32">
        <v>10</v>
      </c>
      <c r="M29" s="1" t="s">
        <v>182</v>
      </c>
    </row>
    <row r="30" spans="6:13" ht="15.6" x14ac:dyDescent="0.3">
      <c r="F30" s="22" t="s">
        <v>92</v>
      </c>
      <c r="G30" s="22" t="s">
        <v>64</v>
      </c>
      <c r="H30" s="1">
        <v>0</v>
      </c>
      <c r="I30" s="1">
        <v>0</v>
      </c>
      <c r="J30" s="32">
        <v>179</v>
      </c>
      <c r="K30" s="32">
        <v>179</v>
      </c>
      <c r="L30" s="32">
        <v>30</v>
      </c>
      <c r="M30" s="1" t="s">
        <v>182</v>
      </c>
    </row>
    <row r="31" spans="6:13" ht="15.6" x14ac:dyDescent="0.3">
      <c r="F31" s="22" t="s">
        <v>93</v>
      </c>
      <c r="G31" s="22" t="s">
        <v>61</v>
      </c>
      <c r="H31" s="1">
        <v>91</v>
      </c>
      <c r="I31" s="1">
        <v>73</v>
      </c>
      <c r="J31" s="32">
        <v>228</v>
      </c>
      <c r="K31" s="32">
        <v>246</v>
      </c>
      <c r="L31" s="32">
        <v>30</v>
      </c>
      <c r="M31" s="1" t="s">
        <v>182</v>
      </c>
    </row>
    <row r="32" spans="6:13" ht="15.6" x14ac:dyDescent="0.3">
      <c r="F32" s="22" t="s">
        <v>94</v>
      </c>
      <c r="G32" s="22" t="s">
        <v>72</v>
      </c>
      <c r="H32" s="1">
        <v>0</v>
      </c>
      <c r="I32" s="1">
        <v>0</v>
      </c>
      <c r="J32" s="32">
        <v>295</v>
      </c>
      <c r="K32" s="32">
        <v>295</v>
      </c>
      <c r="L32" s="32">
        <v>30</v>
      </c>
      <c r="M32" s="1" t="s">
        <v>182</v>
      </c>
    </row>
    <row r="33" spans="6:13" ht="15.6" x14ac:dyDescent="0.3">
      <c r="F33" s="22" t="s">
        <v>95</v>
      </c>
      <c r="G33" s="22" t="s">
        <v>166</v>
      </c>
      <c r="H33" s="1">
        <v>0</v>
      </c>
      <c r="I33" s="1">
        <v>0</v>
      </c>
      <c r="J33" s="32">
        <v>152</v>
      </c>
      <c r="K33" s="32">
        <v>152</v>
      </c>
      <c r="L33" s="32">
        <v>20</v>
      </c>
      <c r="M33" s="1" t="s">
        <v>182</v>
      </c>
    </row>
    <row r="34" spans="6:13" ht="15.6" x14ac:dyDescent="0.3">
      <c r="F34" s="22" t="s">
        <v>27</v>
      </c>
      <c r="G34" s="22" t="s">
        <v>65</v>
      </c>
      <c r="H34" s="1">
        <v>0</v>
      </c>
      <c r="I34" s="1">
        <v>20</v>
      </c>
      <c r="J34" s="32">
        <v>249</v>
      </c>
      <c r="K34" s="32">
        <v>229</v>
      </c>
      <c r="L34" s="32">
        <v>30</v>
      </c>
      <c r="M34" s="1" t="s">
        <v>182</v>
      </c>
    </row>
    <row r="35" spans="6:13" ht="15.6" x14ac:dyDescent="0.3">
      <c r="F35" s="22" t="s">
        <v>28</v>
      </c>
      <c r="G35" s="22" t="s">
        <v>67</v>
      </c>
      <c r="H35" s="1">
        <v>0</v>
      </c>
      <c r="I35" s="1">
        <v>23</v>
      </c>
      <c r="J35" s="33">
        <v>23</v>
      </c>
      <c r="K35" s="33">
        <v>0</v>
      </c>
      <c r="L35" s="34">
        <v>30</v>
      </c>
      <c r="M35" s="1" t="s">
        <v>181</v>
      </c>
    </row>
    <row r="36" spans="6:13" ht="15.6" x14ac:dyDescent="0.3">
      <c r="F36" s="22" t="s">
        <v>96</v>
      </c>
      <c r="G36" s="22" t="s">
        <v>52</v>
      </c>
      <c r="H36" s="1">
        <v>1</v>
      </c>
      <c r="I36" s="1">
        <v>0</v>
      </c>
      <c r="J36" s="32">
        <v>218</v>
      </c>
      <c r="K36" s="32">
        <v>219</v>
      </c>
      <c r="L36" s="32">
        <v>30</v>
      </c>
      <c r="M36" s="1" t="s">
        <v>182</v>
      </c>
    </row>
    <row r="37" spans="6:13" ht="15.6" x14ac:dyDescent="0.3">
      <c r="F37" s="22" t="s">
        <v>97</v>
      </c>
      <c r="G37" s="22" t="s">
        <v>42</v>
      </c>
      <c r="H37" s="1">
        <v>0</v>
      </c>
      <c r="I37" s="1">
        <v>54</v>
      </c>
      <c r="J37" s="33">
        <v>54</v>
      </c>
      <c r="K37" s="33">
        <v>0</v>
      </c>
      <c r="L37" s="34">
        <v>10</v>
      </c>
      <c r="M37" s="1" t="s">
        <v>181</v>
      </c>
    </row>
    <row r="38" spans="6:13" ht="15.6" x14ac:dyDescent="0.3">
      <c r="F38" s="22" t="s">
        <v>98</v>
      </c>
      <c r="G38" s="22" t="s">
        <v>53</v>
      </c>
      <c r="H38" s="1">
        <v>22</v>
      </c>
      <c r="I38" s="1">
        <v>52</v>
      </c>
      <c r="J38" s="32">
        <v>114</v>
      </c>
      <c r="K38" s="32">
        <v>84</v>
      </c>
      <c r="L38" s="32">
        <v>20</v>
      </c>
      <c r="M38" s="1" t="s">
        <v>182</v>
      </c>
    </row>
    <row r="39" spans="6:13" ht="15.6" x14ac:dyDescent="0.3">
      <c r="F39" s="22" t="s">
        <v>99</v>
      </c>
      <c r="G39" s="22" t="s">
        <v>46</v>
      </c>
      <c r="H39" s="1">
        <v>0</v>
      </c>
      <c r="I39" s="1">
        <v>0</v>
      </c>
      <c r="J39" s="32">
        <v>270</v>
      </c>
      <c r="K39" s="32">
        <v>270</v>
      </c>
      <c r="L39" s="32">
        <v>20</v>
      </c>
      <c r="M39" s="1" t="s">
        <v>182</v>
      </c>
    </row>
    <row r="40" spans="6:13" ht="15.6" x14ac:dyDescent="0.3">
      <c r="F40" s="22" t="s">
        <v>29</v>
      </c>
      <c r="G40" s="22" t="s">
        <v>51</v>
      </c>
      <c r="H40" s="1">
        <v>0</v>
      </c>
      <c r="I40" s="1">
        <v>0</v>
      </c>
      <c r="J40" s="32">
        <v>70</v>
      </c>
      <c r="K40" s="32">
        <v>70</v>
      </c>
      <c r="L40" s="32">
        <v>30</v>
      </c>
      <c r="M40" s="1" t="s">
        <v>182</v>
      </c>
    </row>
    <row r="41" spans="6:13" ht="15.6" x14ac:dyDescent="0.3">
      <c r="F41" s="22" t="s">
        <v>100</v>
      </c>
      <c r="G41" s="22" t="s">
        <v>41</v>
      </c>
      <c r="H41" s="1">
        <v>0</v>
      </c>
      <c r="I41" s="1">
        <v>0</v>
      </c>
      <c r="J41" s="32">
        <v>165</v>
      </c>
      <c r="K41" s="32">
        <v>165</v>
      </c>
      <c r="L41" s="32">
        <v>30</v>
      </c>
      <c r="M41" s="1" t="s">
        <v>182</v>
      </c>
    </row>
    <row r="42" spans="6:13" ht="15.6" x14ac:dyDescent="0.3">
      <c r="F42" s="22" t="s">
        <v>101</v>
      </c>
      <c r="G42" s="22" t="s">
        <v>167</v>
      </c>
      <c r="H42" s="1">
        <v>0</v>
      </c>
      <c r="I42" s="1">
        <v>25</v>
      </c>
      <c r="J42" s="32">
        <v>272</v>
      </c>
      <c r="K42" s="32">
        <v>247</v>
      </c>
      <c r="L42" s="32">
        <v>10</v>
      </c>
      <c r="M42" s="1" t="s">
        <v>182</v>
      </c>
    </row>
    <row r="43" spans="6:13" ht="15.6" x14ac:dyDescent="0.3">
      <c r="F43" s="22" t="s">
        <v>102</v>
      </c>
      <c r="G43" s="22" t="s">
        <v>58</v>
      </c>
      <c r="H43" s="1">
        <v>0</v>
      </c>
      <c r="I43" s="1">
        <v>0</v>
      </c>
      <c r="J43" s="32">
        <v>56</v>
      </c>
      <c r="K43" s="32">
        <v>56</v>
      </c>
      <c r="L43" s="32">
        <v>30</v>
      </c>
      <c r="M43" s="1" t="s">
        <v>182</v>
      </c>
    </row>
    <row r="44" spans="6:13" ht="15.6" x14ac:dyDescent="0.3">
      <c r="F44" s="22" t="s">
        <v>103</v>
      </c>
      <c r="G44" s="22" t="s">
        <v>71</v>
      </c>
      <c r="H44" s="1">
        <v>0</v>
      </c>
      <c r="I44" s="1">
        <v>0</v>
      </c>
      <c r="J44" s="32">
        <v>295</v>
      </c>
      <c r="K44" s="32">
        <v>295</v>
      </c>
      <c r="L44" s="32">
        <v>20</v>
      </c>
      <c r="M44" s="1" t="s">
        <v>182</v>
      </c>
    </row>
    <row r="45" spans="6:13" ht="15.6" x14ac:dyDescent="0.3">
      <c r="F45" s="22" t="s">
        <v>104</v>
      </c>
      <c r="G45" s="22" t="s">
        <v>166</v>
      </c>
      <c r="H45" s="1">
        <v>15</v>
      </c>
      <c r="I45" s="1">
        <v>0</v>
      </c>
      <c r="J45" s="32">
        <v>29</v>
      </c>
      <c r="K45" s="32">
        <v>44</v>
      </c>
      <c r="L45" s="32">
        <v>20</v>
      </c>
      <c r="M45" s="1" t="s">
        <v>182</v>
      </c>
    </row>
    <row r="46" spans="6:13" ht="15.6" x14ac:dyDescent="0.3">
      <c r="F46" s="22" t="s">
        <v>105</v>
      </c>
      <c r="G46" s="22" t="s">
        <v>53</v>
      </c>
      <c r="H46" s="1">
        <v>74</v>
      </c>
      <c r="I46" s="1">
        <v>44</v>
      </c>
      <c r="J46" s="32">
        <v>214</v>
      </c>
      <c r="K46" s="32">
        <v>244</v>
      </c>
      <c r="L46" s="32">
        <v>30</v>
      </c>
      <c r="M46" s="1" t="s">
        <v>182</v>
      </c>
    </row>
    <row r="47" spans="6:13" ht="15.6" x14ac:dyDescent="0.3">
      <c r="F47" s="22" t="s">
        <v>106</v>
      </c>
      <c r="G47" s="22" t="s">
        <v>57</v>
      </c>
      <c r="H47" s="1">
        <v>25</v>
      </c>
      <c r="I47" s="1">
        <v>0</v>
      </c>
      <c r="J47" s="32">
        <v>295</v>
      </c>
      <c r="K47" s="32">
        <v>320</v>
      </c>
      <c r="L47" s="32">
        <v>30</v>
      </c>
      <c r="M47" s="1" t="s">
        <v>182</v>
      </c>
    </row>
    <row r="48" spans="6:13" ht="15.6" x14ac:dyDescent="0.3">
      <c r="F48" s="22" t="s">
        <v>107</v>
      </c>
      <c r="G48" s="22" t="s">
        <v>74</v>
      </c>
      <c r="H48" s="1">
        <v>0</v>
      </c>
      <c r="I48" s="1">
        <v>0</v>
      </c>
      <c r="J48" s="32">
        <v>147</v>
      </c>
      <c r="K48" s="32">
        <v>147</v>
      </c>
      <c r="L48" s="32">
        <v>20</v>
      </c>
      <c r="M48" s="1" t="s">
        <v>182</v>
      </c>
    </row>
    <row r="49" spans="6:13" ht="15.6" x14ac:dyDescent="0.3">
      <c r="F49" s="22" t="s">
        <v>108</v>
      </c>
      <c r="G49" s="22" t="s">
        <v>168</v>
      </c>
      <c r="H49" s="1">
        <v>0</v>
      </c>
      <c r="I49" s="1">
        <v>50</v>
      </c>
      <c r="J49" s="32">
        <v>290</v>
      </c>
      <c r="K49" s="32">
        <v>240</v>
      </c>
      <c r="L49" s="32">
        <v>10</v>
      </c>
      <c r="M49" s="1" t="s">
        <v>182</v>
      </c>
    </row>
    <row r="50" spans="6:13" ht="15.6" x14ac:dyDescent="0.3">
      <c r="F50" s="22" t="s">
        <v>30</v>
      </c>
      <c r="G50" s="22" t="s">
        <v>43</v>
      </c>
      <c r="H50" s="1">
        <v>200</v>
      </c>
      <c r="I50" s="1">
        <v>0</v>
      </c>
      <c r="J50" s="32">
        <v>240</v>
      </c>
      <c r="K50" s="32">
        <v>440</v>
      </c>
      <c r="L50" s="32">
        <v>20</v>
      </c>
      <c r="M50" s="1" t="s">
        <v>182</v>
      </c>
    </row>
    <row r="51" spans="6:13" ht="15.6" x14ac:dyDescent="0.3">
      <c r="F51" s="22" t="s">
        <v>109</v>
      </c>
      <c r="G51" s="22" t="s">
        <v>169</v>
      </c>
      <c r="H51" s="1">
        <v>0</v>
      </c>
      <c r="I51" s="1">
        <v>0</v>
      </c>
      <c r="J51" s="32">
        <v>190</v>
      </c>
      <c r="K51" s="32">
        <v>190</v>
      </c>
      <c r="L51" s="32">
        <v>30</v>
      </c>
      <c r="M51" s="1" t="s">
        <v>182</v>
      </c>
    </row>
    <row r="52" spans="6:13" ht="15.6" x14ac:dyDescent="0.3">
      <c r="F52" s="22" t="s">
        <v>31</v>
      </c>
      <c r="G52" s="22" t="s">
        <v>39</v>
      </c>
      <c r="H52" s="1">
        <v>0</v>
      </c>
      <c r="I52" s="1">
        <v>20</v>
      </c>
      <c r="J52" s="33">
        <v>27</v>
      </c>
      <c r="K52" s="33">
        <v>7</v>
      </c>
      <c r="L52" s="34">
        <v>20</v>
      </c>
      <c r="M52" s="1" t="s">
        <v>188</v>
      </c>
    </row>
    <row r="53" spans="6:13" ht="15.6" x14ac:dyDescent="0.3">
      <c r="F53" s="22" t="s">
        <v>110</v>
      </c>
      <c r="G53" s="22" t="s">
        <v>55</v>
      </c>
      <c r="H53" s="1">
        <v>0</v>
      </c>
      <c r="I53" s="1">
        <v>20</v>
      </c>
      <c r="J53" s="32">
        <v>52</v>
      </c>
      <c r="K53" s="32">
        <v>32</v>
      </c>
      <c r="L53" s="32">
        <v>20</v>
      </c>
      <c r="M53" s="1" t="s">
        <v>182</v>
      </c>
    </row>
    <row r="54" spans="6:13" ht="15.6" x14ac:dyDescent="0.3">
      <c r="F54" s="22" t="s">
        <v>111</v>
      </c>
      <c r="G54" s="22" t="s">
        <v>69</v>
      </c>
      <c r="H54" s="1">
        <v>40</v>
      </c>
      <c r="I54" s="1">
        <v>0</v>
      </c>
      <c r="J54" s="32">
        <v>139</v>
      </c>
      <c r="K54" s="32">
        <v>179</v>
      </c>
      <c r="L54" s="32">
        <v>10</v>
      </c>
      <c r="M54" s="1" t="s">
        <v>182</v>
      </c>
    </row>
    <row r="55" spans="6:13" ht="15.6" x14ac:dyDescent="0.3">
      <c r="F55" s="22" t="s">
        <v>112</v>
      </c>
      <c r="G55" s="22" t="s">
        <v>76</v>
      </c>
      <c r="H55" s="1">
        <v>0</v>
      </c>
      <c r="I55" s="1">
        <v>0</v>
      </c>
      <c r="J55" s="32">
        <v>234</v>
      </c>
      <c r="K55" s="32">
        <v>234</v>
      </c>
      <c r="L55" s="32">
        <v>10</v>
      </c>
      <c r="M55" s="1" t="s">
        <v>182</v>
      </c>
    </row>
    <row r="56" spans="6:13" ht="15.6" x14ac:dyDescent="0.3">
      <c r="F56" s="22" t="s">
        <v>113</v>
      </c>
      <c r="G56" s="22" t="s">
        <v>169</v>
      </c>
      <c r="H56" s="1">
        <v>0</v>
      </c>
      <c r="I56" s="1">
        <v>0</v>
      </c>
      <c r="J56" s="32">
        <v>120</v>
      </c>
      <c r="K56" s="32">
        <v>120</v>
      </c>
      <c r="L56" s="32">
        <v>10</v>
      </c>
      <c r="M56" s="1" t="s">
        <v>182</v>
      </c>
    </row>
    <row r="57" spans="6:13" ht="15.6" x14ac:dyDescent="0.3">
      <c r="F57" s="22" t="s">
        <v>114</v>
      </c>
      <c r="G57" s="22" t="s">
        <v>60</v>
      </c>
      <c r="H57" s="1">
        <v>30</v>
      </c>
      <c r="I57" s="1">
        <v>0</v>
      </c>
      <c r="J57" s="32">
        <v>59</v>
      </c>
      <c r="K57" s="32">
        <v>89</v>
      </c>
      <c r="L57" s="32">
        <v>10</v>
      </c>
      <c r="M57" s="1" t="s">
        <v>182</v>
      </c>
    </row>
    <row r="58" spans="6:13" ht="15.6" x14ac:dyDescent="0.3">
      <c r="F58" s="22" t="s">
        <v>115</v>
      </c>
      <c r="G58" s="22" t="s">
        <v>74</v>
      </c>
      <c r="H58" s="1">
        <v>46</v>
      </c>
      <c r="I58" s="1">
        <v>21</v>
      </c>
      <c r="J58" s="32">
        <v>109</v>
      </c>
      <c r="K58" s="32">
        <v>134</v>
      </c>
      <c r="L58" s="32">
        <v>10</v>
      </c>
      <c r="M58" s="1" t="s">
        <v>182</v>
      </c>
    </row>
    <row r="59" spans="6:13" ht="15.6" x14ac:dyDescent="0.3">
      <c r="F59" s="22" t="s">
        <v>116</v>
      </c>
      <c r="G59" s="22" t="s">
        <v>62</v>
      </c>
      <c r="H59" s="1">
        <v>0</v>
      </c>
      <c r="I59" s="1">
        <v>0</v>
      </c>
      <c r="J59" s="32">
        <v>291</v>
      </c>
      <c r="K59" s="32">
        <v>291</v>
      </c>
      <c r="L59" s="32">
        <v>20</v>
      </c>
      <c r="M59" s="1" t="s">
        <v>182</v>
      </c>
    </row>
    <row r="60" spans="6:13" ht="15.6" x14ac:dyDescent="0.3">
      <c r="F60" s="22" t="s">
        <v>117</v>
      </c>
      <c r="G60" s="22" t="s">
        <v>63</v>
      </c>
      <c r="H60" s="1">
        <v>0</v>
      </c>
      <c r="I60" s="1">
        <v>0</v>
      </c>
      <c r="J60" s="32">
        <v>133</v>
      </c>
      <c r="K60" s="32">
        <v>133</v>
      </c>
      <c r="L60" s="32">
        <v>20</v>
      </c>
      <c r="M60" s="1" t="s">
        <v>182</v>
      </c>
    </row>
    <row r="61" spans="6:13" ht="15.6" x14ac:dyDescent="0.3">
      <c r="F61" s="22" t="s">
        <v>118</v>
      </c>
      <c r="G61" s="22" t="s">
        <v>169</v>
      </c>
      <c r="H61" s="1">
        <v>0</v>
      </c>
      <c r="I61" s="1">
        <v>0</v>
      </c>
      <c r="J61" s="32">
        <v>170</v>
      </c>
      <c r="K61" s="32">
        <v>170</v>
      </c>
      <c r="L61" s="32">
        <v>30</v>
      </c>
      <c r="M61" s="1" t="s">
        <v>182</v>
      </c>
    </row>
    <row r="62" spans="6:13" ht="15.6" x14ac:dyDescent="0.3">
      <c r="F62" s="22" t="s">
        <v>119</v>
      </c>
      <c r="G62" s="22" t="s">
        <v>77</v>
      </c>
      <c r="H62" s="1">
        <v>117</v>
      </c>
      <c r="I62" s="1">
        <v>0</v>
      </c>
      <c r="J62" s="32">
        <v>279</v>
      </c>
      <c r="K62" s="32">
        <v>396</v>
      </c>
      <c r="L62" s="32">
        <v>30</v>
      </c>
      <c r="M62" s="1" t="s">
        <v>182</v>
      </c>
    </row>
    <row r="63" spans="6:13" ht="15.6" x14ac:dyDescent="0.3">
      <c r="F63" s="22" t="s">
        <v>120</v>
      </c>
      <c r="G63" s="22" t="s">
        <v>41</v>
      </c>
      <c r="H63" s="1">
        <v>34</v>
      </c>
      <c r="I63" s="1">
        <v>0</v>
      </c>
      <c r="J63" s="32">
        <v>51</v>
      </c>
      <c r="K63" s="32">
        <v>85</v>
      </c>
      <c r="L63" s="32">
        <v>20</v>
      </c>
      <c r="M63" s="1" t="s">
        <v>182</v>
      </c>
    </row>
    <row r="64" spans="6:13" ht="15.6" x14ac:dyDescent="0.3">
      <c r="F64" s="22" t="s">
        <v>121</v>
      </c>
      <c r="G64" s="22" t="s">
        <v>62</v>
      </c>
      <c r="H64" s="1">
        <v>13</v>
      </c>
      <c r="I64" s="1">
        <v>0</v>
      </c>
      <c r="J64" s="32">
        <v>244</v>
      </c>
      <c r="K64" s="32">
        <v>257</v>
      </c>
      <c r="L64" s="32">
        <v>20</v>
      </c>
      <c r="M64" s="1" t="s">
        <v>182</v>
      </c>
    </row>
    <row r="65" spans="6:13" ht="15.6" x14ac:dyDescent="0.3">
      <c r="F65" s="22" t="s">
        <v>122</v>
      </c>
      <c r="G65" s="22" t="s">
        <v>54</v>
      </c>
      <c r="H65" s="1">
        <v>0</v>
      </c>
      <c r="I65" s="1">
        <v>89</v>
      </c>
      <c r="J65" s="32">
        <v>218</v>
      </c>
      <c r="K65" s="32">
        <v>129</v>
      </c>
      <c r="L65" s="32">
        <v>10</v>
      </c>
      <c r="M65" s="1" t="s">
        <v>182</v>
      </c>
    </row>
    <row r="66" spans="6:13" ht="15.6" x14ac:dyDescent="0.3">
      <c r="F66" s="22" t="s">
        <v>123</v>
      </c>
      <c r="G66" s="22" t="s">
        <v>48</v>
      </c>
      <c r="H66" s="1">
        <v>55</v>
      </c>
      <c r="I66" s="1">
        <v>0</v>
      </c>
      <c r="J66" s="32">
        <v>229</v>
      </c>
      <c r="K66" s="32">
        <v>284</v>
      </c>
      <c r="L66" s="32">
        <v>10</v>
      </c>
      <c r="M66" s="1" t="s">
        <v>182</v>
      </c>
    </row>
    <row r="67" spans="6:13" ht="15.6" x14ac:dyDescent="0.3">
      <c r="F67" s="22" t="s">
        <v>124</v>
      </c>
      <c r="G67" s="22" t="s">
        <v>74</v>
      </c>
      <c r="H67" s="1">
        <v>0</v>
      </c>
      <c r="I67" s="1">
        <v>86</v>
      </c>
      <c r="J67" s="33">
        <v>91</v>
      </c>
      <c r="K67" s="33">
        <v>5</v>
      </c>
      <c r="L67" s="34">
        <v>10</v>
      </c>
      <c r="M67" s="1" t="s">
        <v>188</v>
      </c>
    </row>
    <row r="68" spans="6:13" ht="15.6" x14ac:dyDescent="0.3">
      <c r="F68" s="22" t="s">
        <v>125</v>
      </c>
      <c r="G68" s="22" t="s">
        <v>55</v>
      </c>
      <c r="H68" s="1">
        <v>0</v>
      </c>
      <c r="I68" s="1">
        <v>0</v>
      </c>
      <c r="J68" s="32">
        <v>150</v>
      </c>
      <c r="K68" s="32">
        <v>150</v>
      </c>
      <c r="L68" s="32">
        <v>20</v>
      </c>
      <c r="M68" s="1" t="s">
        <v>182</v>
      </c>
    </row>
    <row r="69" spans="6:13" ht="15.6" x14ac:dyDescent="0.3">
      <c r="F69" s="22" t="s">
        <v>126</v>
      </c>
      <c r="G69" s="22" t="s">
        <v>170</v>
      </c>
      <c r="H69" s="1">
        <v>141</v>
      </c>
      <c r="I69" s="1">
        <v>0</v>
      </c>
      <c r="J69" s="32">
        <v>222</v>
      </c>
      <c r="K69" s="32">
        <v>363</v>
      </c>
      <c r="L69" s="32">
        <v>30</v>
      </c>
      <c r="M69" s="1" t="s">
        <v>182</v>
      </c>
    </row>
    <row r="70" spans="6:13" ht="15.6" x14ac:dyDescent="0.3">
      <c r="F70" s="22" t="s">
        <v>127</v>
      </c>
      <c r="G70" s="22" t="s">
        <v>62</v>
      </c>
      <c r="H70" s="1">
        <v>0</v>
      </c>
      <c r="I70" s="1">
        <v>0</v>
      </c>
      <c r="J70" s="32">
        <v>294</v>
      </c>
      <c r="K70" s="32">
        <v>294</v>
      </c>
      <c r="L70" s="32">
        <v>30</v>
      </c>
      <c r="M70" s="1" t="s">
        <v>182</v>
      </c>
    </row>
    <row r="71" spans="6:13" ht="15.6" x14ac:dyDescent="0.3">
      <c r="F71" s="22" t="s">
        <v>128</v>
      </c>
      <c r="G71" s="22" t="s">
        <v>40</v>
      </c>
      <c r="H71" s="1">
        <v>0</v>
      </c>
      <c r="I71" s="1">
        <v>0</v>
      </c>
      <c r="J71" s="32">
        <v>73</v>
      </c>
      <c r="K71" s="32">
        <v>73</v>
      </c>
      <c r="L71" s="32">
        <v>30</v>
      </c>
      <c r="M71" s="1" t="s">
        <v>182</v>
      </c>
    </row>
    <row r="72" spans="6:13" ht="15.6" x14ac:dyDescent="0.3">
      <c r="F72" s="22" t="s">
        <v>129</v>
      </c>
      <c r="G72" s="22" t="s">
        <v>70</v>
      </c>
      <c r="H72" s="1">
        <v>35</v>
      </c>
      <c r="I72" s="1">
        <v>0</v>
      </c>
      <c r="J72" s="32">
        <v>56</v>
      </c>
      <c r="K72" s="32">
        <v>91</v>
      </c>
      <c r="L72" s="32">
        <v>30</v>
      </c>
      <c r="M72" s="1" t="s">
        <v>182</v>
      </c>
    </row>
    <row r="73" spans="6:13" ht="15.6" x14ac:dyDescent="0.3">
      <c r="F73" s="22" t="s">
        <v>130</v>
      </c>
      <c r="G73" s="22" t="s">
        <v>45</v>
      </c>
      <c r="H73" s="1">
        <v>0</v>
      </c>
      <c r="I73" s="1">
        <v>0</v>
      </c>
      <c r="J73" s="32">
        <v>129</v>
      </c>
      <c r="K73" s="32">
        <v>129</v>
      </c>
      <c r="L73" s="32">
        <v>10</v>
      </c>
      <c r="M73" s="1" t="s">
        <v>182</v>
      </c>
    </row>
    <row r="74" spans="6:13" ht="15.6" x14ac:dyDescent="0.3">
      <c r="F74" s="22" t="s">
        <v>131</v>
      </c>
      <c r="G74" s="22" t="s">
        <v>45</v>
      </c>
      <c r="H74" s="1">
        <v>0</v>
      </c>
      <c r="I74" s="1">
        <v>0</v>
      </c>
      <c r="J74" s="32">
        <v>98</v>
      </c>
      <c r="K74" s="32">
        <v>98</v>
      </c>
      <c r="L74" s="32">
        <v>20</v>
      </c>
      <c r="M74" s="1" t="s">
        <v>182</v>
      </c>
    </row>
    <row r="75" spans="6:13" ht="15.6" x14ac:dyDescent="0.3">
      <c r="F75" s="22" t="s">
        <v>132</v>
      </c>
      <c r="G75" s="22" t="s">
        <v>61</v>
      </c>
      <c r="H75" s="1">
        <v>0</v>
      </c>
      <c r="I75" s="1">
        <v>0</v>
      </c>
      <c r="J75" s="32">
        <v>194</v>
      </c>
      <c r="K75" s="32">
        <v>194</v>
      </c>
      <c r="L75" s="32">
        <v>20</v>
      </c>
      <c r="M75" s="1" t="s">
        <v>182</v>
      </c>
    </row>
    <row r="76" spans="6:13" ht="15.6" x14ac:dyDescent="0.3">
      <c r="F76" s="22" t="s">
        <v>133</v>
      </c>
      <c r="G76" s="22" t="s">
        <v>37</v>
      </c>
      <c r="H76" s="1">
        <v>6</v>
      </c>
      <c r="I76" s="1">
        <v>0</v>
      </c>
      <c r="J76" s="32">
        <v>222</v>
      </c>
      <c r="K76" s="32">
        <v>228</v>
      </c>
      <c r="L76" s="32">
        <v>20</v>
      </c>
      <c r="M76" s="1" t="s">
        <v>182</v>
      </c>
    </row>
    <row r="77" spans="6:13" ht="15.6" x14ac:dyDescent="0.3">
      <c r="F77" s="22" t="s">
        <v>134</v>
      </c>
      <c r="G77" s="22" t="s">
        <v>44</v>
      </c>
      <c r="H77" s="1">
        <v>0</v>
      </c>
      <c r="I77" s="1">
        <v>15</v>
      </c>
      <c r="J77" s="32">
        <v>107</v>
      </c>
      <c r="K77" s="32">
        <v>92</v>
      </c>
      <c r="L77" s="32">
        <v>20</v>
      </c>
      <c r="M77" s="1" t="s">
        <v>182</v>
      </c>
    </row>
    <row r="78" spans="6:13" ht="15.6" x14ac:dyDescent="0.3">
      <c r="F78" s="22" t="s">
        <v>32</v>
      </c>
      <c r="G78" s="22" t="s">
        <v>68</v>
      </c>
      <c r="H78" s="1">
        <v>0</v>
      </c>
      <c r="I78" s="1">
        <v>66</v>
      </c>
      <c r="J78" s="32">
        <v>178</v>
      </c>
      <c r="K78" s="32">
        <v>112</v>
      </c>
      <c r="L78" s="32">
        <v>30</v>
      </c>
      <c r="M78" s="1" t="s">
        <v>182</v>
      </c>
    </row>
    <row r="79" spans="6:13" ht="15.6" x14ac:dyDescent="0.3">
      <c r="F79" s="22" t="s">
        <v>135</v>
      </c>
      <c r="G79" s="22" t="s">
        <v>53</v>
      </c>
      <c r="H79" s="1">
        <v>0</v>
      </c>
      <c r="I79" s="1">
        <v>0</v>
      </c>
      <c r="J79" s="32">
        <v>138</v>
      </c>
      <c r="K79" s="32">
        <v>138</v>
      </c>
      <c r="L79" s="32">
        <v>30</v>
      </c>
      <c r="M79" s="1" t="s">
        <v>182</v>
      </c>
    </row>
    <row r="80" spans="6:13" ht="15.6" x14ac:dyDescent="0.3">
      <c r="F80" s="22" t="s">
        <v>136</v>
      </c>
      <c r="G80" s="22" t="s">
        <v>74</v>
      </c>
      <c r="H80" s="1">
        <v>69</v>
      </c>
      <c r="I80" s="1">
        <v>0</v>
      </c>
      <c r="J80" s="32">
        <v>100</v>
      </c>
      <c r="K80" s="32">
        <v>169</v>
      </c>
      <c r="L80" s="32">
        <v>30</v>
      </c>
      <c r="M80" s="1" t="s">
        <v>182</v>
      </c>
    </row>
    <row r="81" spans="6:13" ht="15.6" x14ac:dyDescent="0.3">
      <c r="F81" s="22" t="s">
        <v>137</v>
      </c>
      <c r="G81" s="22" t="s">
        <v>39</v>
      </c>
      <c r="H81" s="1">
        <v>0</v>
      </c>
      <c r="I81" s="1">
        <v>0</v>
      </c>
      <c r="J81" s="32">
        <v>159</v>
      </c>
      <c r="K81" s="32">
        <v>159</v>
      </c>
      <c r="L81" s="32">
        <v>10</v>
      </c>
      <c r="M81" s="1" t="s">
        <v>182</v>
      </c>
    </row>
    <row r="82" spans="6:13" ht="15.6" x14ac:dyDescent="0.3">
      <c r="F82" s="22" t="s">
        <v>138</v>
      </c>
      <c r="G82" s="22" t="s">
        <v>74</v>
      </c>
      <c r="H82" s="1">
        <v>0</v>
      </c>
      <c r="I82" s="1">
        <v>28</v>
      </c>
      <c r="J82" s="32">
        <v>162</v>
      </c>
      <c r="K82" s="32">
        <v>134</v>
      </c>
      <c r="L82" s="32">
        <v>30</v>
      </c>
      <c r="M82" s="1" t="s">
        <v>182</v>
      </c>
    </row>
    <row r="83" spans="6:13" ht="15.6" x14ac:dyDescent="0.3">
      <c r="F83" s="22" t="s">
        <v>139</v>
      </c>
      <c r="G83" s="22" t="s">
        <v>62</v>
      </c>
      <c r="H83" s="1">
        <v>0</v>
      </c>
      <c r="I83" s="1">
        <v>0</v>
      </c>
      <c r="J83" s="32">
        <v>273</v>
      </c>
      <c r="K83" s="32">
        <v>273</v>
      </c>
      <c r="L83" s="32">
        <v>10</v>
      </c>
      <c r="M83" s="1" t="s">
        <v>182</v>
      </c>
    </row>
    <row r="84" spans="6:13" ht="15.6" x14ac:dyDescent="0.3">
      <c r="F84" s="22" t="s">
        <v>140</v>
      </c>
      <c r="G84" s="22" t="s">
        <v>168</v>
      </c>
      <c r="H84" s="1">
        <v>0</v>
      </c>
      <c r="I84" s="1">
        <v>0</v>
      </c>
      <c r="J84" s="32">
        <v>134</v>
      </c>
      <c r="K84" s="32">
        <v>134</v>
      </c>
      <c r="L84" s="32">
        <v>20</v>
      </c>
      <c r="M84" s="1" t="s">
        <v>182</v>
      </c>
    </row>
    <row r="85" spans="6:13" ht="15.6" x14ac:dyDescent="0.3">
      <c r="F85" s="22" t="s">
        <v>141</v>
      </c>
      <c r="G85" s="22" t="s">
        <v>47</v>
      </c>
      <c r="H85" s="1">
        <v>0</v>
      </c>
      <c r="I85" s="1">
        <v>30</v>
      </c>
      <c r="J85" s="53">
        <v>30</v>
      </c>
      <c r="K85" s="53">
        <v>0</v>
      </c>
      <c r="L85" s="53">
        <v>30</v>
      </c>
      <c r="M85" s="1" t="s">
        <v>181</v>
      </c>
    </row>
    <row r="86" spans="6:13" ht="15.6" x14ac:dyDescent="0.3">
      <c r="F86" s="22" t="s">
        <v>142</v>
      </c>
      <c r="G86" s="22" t="s">
        <v>170</v>
      </c>
      <c r="H86" s="1">
        <v>0</v>
      </c>
      <c r="I86" s="1">
        <v>71</v>
      </c>
      <c r="J86" s="32">
        <v>262</v>
      </c>
      <c r="K86" s="32">
        <v>191</v>
      </c>
      <c r="L86" s="32">
        <v>30</v>
      </c>
      <c r="M86" s="1" t="s">
        <v>182</v>
      </c>
    </row>
    <row r="87" spans="6:13" ht="15.6" x14ac:dyDescent="0.3">
      <c r="F87" s="22" t="s">
        <v>143</v>
      </c>
      <c r="G87" s="22" t="s">
        <v>166</v>
      </c>
      <c r="H87" s="1">
        <v>0</v>
      </c>
      <c r="I87" s="1">
        <v>0</v>
      </c>
      <c r="J87" s="32">
        <v>68</v>
      </c>
      <c r="K87" s="32">
        <v>68</v>
      </c>
      <c r="L87" s="32">
        <v>10</v>
      </c>
      <c r="M87" s="1" t="s">
        <v>182</v>
      </c>
    </row>
    <row r="88" spans="6:13" ht="15.6" x14ac:dyDescent="0.3">
      <c r="F88" s="22" t="s">
        <v>144</v>
      </c>
      <c r="G88" s="22" t="s">
        <v>53</v>
      </c>
      <c r="H88" s="1">
        <v>0</v>
      </c>
      <c r="I88" s="1">
        <v>0</v>
      </c>
      <c r="J88" s="32">
        <v>56</v>
      </c>
      <c r="K88" s="32">
        <v>56</v>
      </c>
      <c r="L88" s="32">
        <v>30</v>
      </c>
      <c r="M88" s="1" t="s">
        <v>182</v>
      </c>
    </row>
    <row r="89" spans="6:13" ht="15.6" x14ac:dyDescent="0.3">
      <c r="F89" s="22" t="s">
        <v>145</v>
      </c>
      <c r="G89" s="22" t="s">
        <v>171</v>
      </c>
      <c r="H89" s="1">
        <v>0</v>
      </c>
      <c r="I89" s="1">
        <v>167</v>
      </c>
      <c r="J89" s="32">
        <v>261</v>
      </c>
      <c r="K89" s="32">
        <v>94</v>
      </c>
      <c r="L89" s="32">
        <v>30</v>
      </c>
      <c r="M89" s="1" t="s">
        <v>182</v>
      </c>
    </row>
    <row r="90" spans="6:13" ht="15.6" x14ac:dyDescent="0.3">
      <c r="F90" s="22" t="s">
        <v>33</v>
      </c>
      <c r="G90" s="22" t="s">
        <v>51</v>
      </c>
      <c r="H90" s="1">
        <v>0</v>
      </c>
      <c r="I90" s="1">
        <v>0</v>
      </c>
      <c r="J90" s="32">
        <v>297</v>
      </c>
      <c r="K90" s="32">
        <v>297</v>
      </c>
      <c r="L90" s="32">
        <v>10</v>
      </c>
      <c r="M90" s="1" t="s">
        <v>182</v>
      </c>
    </row>
    <row r="91" spans="6:13" ht="15.6" x14ac:dyDescent="0.3">
      <c r="F91" s="22" t="s">
        <v>34</v>
      </c>
      <c r="G91" s="22" t="s">
        <v>172</v>
      </c>
      <c r="H91" s="1">
        <v>67</v>
      </c>
      <c r="I91" s="1">
        <v>0</v>
      </c>
      <c r="J91" s="32">
        <v>71</v>
      </c>
      <c r="K91" s="32">
        <v>138</v>
      </c>
      <c r="L91" s="32">
        <v>20</v>
      </c>
      <c r="M91" s="1" t="s">
        <v>182</v>
      </c>
    </row>
    <row r="92" spans="6:13" ht="15.6" x14ac:dyDescent="0.3">
      <c r="F92" s="22" t="s">
        <v>146</v>
      </c>
      <c r="G92" s="22" t="s">
        <v>62</v>
      </c>
      <c r="H92" s="1">
        <v>0</v>
      </c>
      <c r="I92" s="1">
        <v>0</v>
      </c>
      <c r="J92" s="32">
        <v>183</v>
      </c>
      <c r="K92" s="32">
        <v>183</v>
      </c>
      <c r="L92" s="32">
        <v>20</v>
      </c>
      <c r="M92" s="1" t="s">
        <v>182</v>
      </c>
    </row>
    <row r="93" spans="6:13" ht="15.6" x14ac:dyDescent="0.3">
      <c r="F93" s="22" t="s">
        <v>147</v>
      </c>
      <c r="G93" s="22" t="s">
        <v>52</v>
      </c>
      <c r="H93" s="1">
        <v>57</v>
      </c>
      <c r="I93" s="1">
        <v>0</v>
      </c>
      <c r="J93" s="32">
        <v>146</v>
      </c>
      <c r="K93" s="32">
        <v>203</v>
      </c>
      <c r="L93" s="32">
        <v>10</v>
      </c>
      <c r="M93" s="1" t="s">
        <v>182</v>
      </c>
    </row>
    <row r="94" spans="6:13" ht="15.6" x14ac:dyDescent="0.3">
      <c r="F94" s="22" t="s">
        <v>148</v>
      </c>
      <c r="G94" s="22" t="s">
        <v>73</v>
      </c>
      <c r="H94" s="1">
        <v>0</v>
      </c>
      <c r="I94" s="1">
        <v>7</v>
      </c>
      <c r="J94" s="32">
        <v>190</v>
      </c>
      <c r="K94" s="32">
        <v>183</v>
      </c>
      <c r="L94" s="32">
        <v>10</v>
      </c>
      <c r="M94" s="1" t="s">
        <v>182</v>
      </c>
    </row>
    <row r="95" spans="6:13" ht="15.6" x14ac:dyDescent="0.3">
      <c r="F95" s="22" t="s">
        <v>35</v>
      </c>
      <c r="G95" s="22" t="s">
        <v>55</v>
      </c>
      <c r="H95" s="1">
        <v>0</v>
      </c>
      <c r="I95" s="1">
        <v>40</v>
      </c>
      <c r="J95" s="32">
        <v>273</v>
      </c>
      <c r="K95" s="32">
        <v>233</v>
      </c>
      <c r="L95" s="32">
        <v>20</v>
      </c>
      <c r="M95" s="1" t="s">
        <v>182</v>
      </c>
    </row>
    <row r="96" spans="6:13" ht="15.6" x14ac:dyDescent="0.3">
      <c r="F96" s="22" t="s">
        <v>149</v>
      </c>
      <c r="G96" s="22" t="s">
        <v>173</v>
      </c>
      <c r="H96" s="1">
        <v>0</v>
      </c>
      <c r="I96" s="1">
        <v>0</v>
      </c>
      <c r="J96" s="32">
        <v>176</v>
      </c>
      <c r="K96" s="32">
        <v>176</v>
      </c>
      <c r="L96" s="32">
        <v>20</v>
      </c>
      <c r="M96" s="1" t="s">
        <v>182</v>
      </c>
    </row>
    <row r="97" spans="6:13" ht="15.6" x14ac:dyDescent="0.3">
      <c r="F97" s="22" t="s">
        <v>150</v>
      </c>
      <c r="G97" s="22" t="s">
        <v>36</v>
      </c>
      <c r="H97" s="1">
        <v>0</v>
      </c>
      <c r="I97" s="1">
        <v>0</v>
      </c>
      <c r="J97" s="32">
        <v>41</v>
      </c>
      <c r="K97" s="32">
        <v>41</v>
      </c>
      <c r="L97" s="32">
        <v>20</v>
      </c>
      <c r="M97" s="1" t="s">
        <v>182</v>
      </c>
    </row>
    <row r="98" spans="6:13" ht="15.6" x14ac:dyDescent="0.3">
      <c r="F98" s="22" t="s">
        <v>151</v>
      </c>
      <c r="G98" s="22" t="s">
        <v>75</v>
      </c>
      <c r="H98" s="1">
        <v>60</v>
      </c>
      <c r="I98" s="1">
        <v>0</v>
      </c>
      <c r="J98" s="32">
        <v>22</v>
      </c>
      <c r="K98" s="32">
        <v>82</v>
      </c>
      <c r="L98" s="32">
        <v>30</v>
      </c>
      <c r="M98" s="1" t="s">
        <v>182</v>
      </c>
    </row>
    <row r="99" spans="6:13" ht="15.6" x14ac:dyDescent="0.3">
      <c r="F99" s="22" t="s">
        <v>152</v>
      </c>
      <c r="G99" s="22" t="s">
        <v>50</v>
      </c>
      <c r="H99" s="1">
        <v>0</v>
      </c>
      <c r="I99" s="1">
        <v>0</v>
      </c>
      <c r="J99" s="32">
        <v>117</v>
      </c>
      <c r="K99" s="32">
        <v>117</v>
      </c>
      <c r="L99" s="32">
        <v>20</v>
      </c>
      <c r="M99" s="1" t="s">
        <v>182</v>
      </c>
    </row>
    <row r="100" spans="6:13" ht="15.6" x14ac:dyDescent="0.3">
      <c r="F100" s="22" t="s">
        <v>153</v>
      </c>
      <c r="G100" s="22" t="s">
        <v>38</v>
      </c>
      <c r="H100" s="1">
        <v>0</v>
      </c>
      <c r="I100" s="1">
        <v>15</v>
      </c>
      <c r="J100" s="32">
        <v>238</v>
      </c>
      <c r="K100" s="32">
        <v>223</v>
      </c>
      <c r="L100" s="32">
        <v>20</v>
      </c>
      <c r="M100" s="1" t="s">
        <v>182</v>
      </c>
    </row>
    <row r="101" spans="6:13" ht="15.6" x14ac:dyDescent="0.3">
      <c r="F101" s="22" t="s">
        <v>154</v>
      </c>
      <c r="G101" s="22" t="s">
        <v>77</v>
      </c>
      <c r="H101" s="1">
        <v>76</v>
      </c>
      <c r="I101" s="1">
        <v>0</v>
      </c>
      <c r="J101" s="32">
        <v>250</v>
      </c>
      <c r="K101" s="32">
        <v>326</v>
      </c>
      <c r="L101" s="32">
        <v>20</v>
      </c>
      <c r="M101" s="1" t="s">
        <v>182</v>
      </c>
    </row>
    <row r="102" spans="6:13" ht="15.6" x14ac:dyDescent="0.3">
      <c r="F102" s="22" t="s">
        <v>155</v>
      </c>
      <c r="G102" s="22" t="s">
        <v>70</v>
      </c>
      <c r="H102" s="1">
        <v>0</v>
      </c>
      <c r="I102" s="1">
        <v>20</v>
      </c>
      <c r="J102" s="32">
        <v>173</v>
      </c>
      <c r="K102" s="32">
        <v>153</v>
      </c>
      <c r="L102" s="32">
        <v>10</v>
      </c>
      <c r="M102" s="1" t="s">
        <v>182</v>
      </c>
    </row>
    <row r="103" spans="6:13" ht="15.6" x14ac:dyDescent="0.3">
      <c r="F103" s="22" t="s">
        <v>156</v>
      </c>
      <c r="G103" s="22" t="s">
        <v>36</v>
      </c>
      <c r="H103" s="1">
        <v>100</v>
      </c>
      <c r="I103" s="1">
        <v>0</v>
      </c>
      <c r="J103" s="32">
        <v>286</v>
      </c>
      <c r="K103" s="32">
        <v>386</v>
      </c>
      <c r="L103" s="32">
        <v>10</v>
      </c>
      <c r="M103" s="1" t="s">
        <v>182</v>
      </c>
    </row>
    <row r="104" spans="6:13" ht="15.6" x14ac:dyDescent="0.3">
      <c r="F104" s="22" t="s">
        <v>157</v>
      </c>
      <c r="G104" s="22" t="s">
        <v>49</v>
      </c>
      <c r="H104" s="1">
        <v>0</v>
      </c>
      <c r="I104" s="1">
        <v>0</v>
      </c>
      <c r="J104" s="32">
        <v>181</v>
      </c>
      <c r="K104" s="32">
        <v>181</v>
      </c>
      <c r="L104" s="32">
        <v>30</v>
      </c>
      <c r="M104" s="1" t="s">
        <v>182</v>
      </c>
    </row>
    <row r="105" spans="6:13" ht="15.6" x14ac:dyDescent="0.3">
      <c r="F105" s="22" t="s">
        <v>158</v>
      </c>
      <c r="G105" s="22" t="s">
        <v>55</v>
      </c>
      <c r="H105" s="1">
        <v>0</v>
      </c>
      <c r="I105" s="1">
        <v>0</v>
      </c>
      <c r="J105" s="32">
        <v>277</v>
      </c>
      <c r="K105" s="32">
        <v>277</v>
      </c>
      <c r="L105" s="32">
        <v>20</v>
      </c>
      <c r="M105" s="1" t="s">
        <v>182</v>
      </c>
    </row>
    <row r="106" spans="6:13" ht="15.6" x14ac:dyDescent="0.3">
      <c r="F106" s="22" t="s">
        <v>159</v>
      </c>
      <c r="G106" s="22" t="s">
        <v>169</v>
      </c>
      <c r="H106" s="1">
        <v>0</v>
      </c>
      <c r="I106" s="1">
        <v>150</v>
      </c>
      <c r="J106" s="53">
        <v>158</v>
      </c>
      <c r="K106" s="53">
        <v>8</v>
      </c>
      <c r="L106" s="53">
        <v>20</v>
      </c>
      <c r="M106" s="1" t="s">
        <v>188</v>
      </c>
    </row>
    <row r="107" spans="6:13" ht="15.6" x14ac:dyDescent="0.3">
      <c r="F107" s="22" t="s">
        <v>160</v>
      </c>
      <c r="G107" s="22" t="s">
        <v>39</v>
      </c>
      <c r="H107" s="1">
        <v>0</v>
      </c>
      <c r="I107" s="1">
        <v>0</v>
      </c>
      <c r="J107" s="32">
        <v>30</v>
      </c>
      <c r="K107" s="32">
        <v>30</v>
      </c>
      <c r="L107" s="32">
        <v>30</v>
      </c>
      <c r="M107" s="1" t="s">
        <v>182</v>
      </c>
    </row>
    <row r="108" spans="6:13" ht="15.6" x14ac:dyDescent="0.3">
      <c r="F108" s="22" t="s">
        <v>161</v>
      </c>
      <c r="G108" s="22" t="s">
        <v>49</v>
      </c>
      <c r="H108" s="1">
        <v>0</v>
      </c>
      <c r="I108" s="1">
        <v>13</v>
      </c>
      <c r="J108" s="32">
        <v>64</v>
      </c>
      <c r="K108" s="32">
        <v>51</v>
      </c>
      <c r="L108" s="32">
        <v>20</v>
      </c>
      <c r="M108" s="1" t="s">
        <v>182</v>
      </c>
    </row>
    <row r="109" spans="6:13" ht="15.6" x14ac:dyDescent="0.3">
      <c r="F109" s="22" t="s">
        <v>162</v>
      </c>
      <c r="G109" s="22" t="s">
        <v>56</v>
      </c>
      <c r="H109" s="1">
        <v>67</v>
      </c>
      <c r="I109" s="1">
        <v>0</v>
      </c>
      <c r="J109" s="32">
        <v>85</v>
      </c>
      <c r="K109" s="32">
        <v>152</v>
      </c>
      <c r="L109" s="32">
        <v>20</v>
      </c>
      <c r="M109" s="1" t="s">
        <v>182</v>
      </c>
    </row>
    <row r="110" spans="6:13" ht="15.6" x14ac:dyDescent="0.3">
      <c r="F110" s="22" t="s">
        <v>163</v>
      </c>
      <c r="G110" s="22" t="s">
        <v>169</v>
      </c>
      <c r="H110" s="1">
        <v>0</v>
      </c>
      <c r="I110" s="1">
        <v>0</v>
      </c>
      <c r="J110" s="32">
        <v>142</v>
      </c>
      <c r="K110" s="32">
        <v>142</v>
      </c>
      <c r="L110" s="32">
        <v>30</v>
      </c>
      <c r="M110" s="1" t="s">
        <v>182</v>
      </c>
    </row>
    <row r="111" spans="6:13" ht="15.6" x14ac:dyDescent="0.3">
      <c r="F111" s="22" t="s">
        <v>164</v>
      </c>
      <c r="G111" s="22" t="s">
        <v>64</v>
      </c>
      <c r="H111" s="1">
        <v>0</v>
      </c>
      <c r="I111" s="1">
        <v>0</v>
      </c>
      <c r="J111" s="32">
        <v>162</v>
      </c>
      <c r="K111" s="32">
        <v>162</v>
      </c>
      <c r="L111" s="32">
        <v>30</v>
      </c>
      <c r="M111" s="1" t="s">
        <v>182</v>
      </c>
    </row>
    <row r="112" spans="6:13" ht="15.6" x14ac:dyDescent="0.3">
      <c r="F112" s="22" t="s">
        <v>189</v>
      </c>
      <c r="G112" s="22" t="s">
        <v>190</v>
      </c>
      <c r="H112" s="1">
        <v>26</v>
      </c>
      <c r="I112" s="1">
        <v>0</v>
      </c>
      <c r="J112" s="32">
        <v>0</v>
      </c>
      <c r="K112" s="30">
        <v>26</v>
      </c>
      <c r="L112" s="32">
        <v>20</v>
      </c>
      <c r="M112" s="1" t="s">
        <v>182</v>
      </c>
    </row>
    <row r="113" spans="6:13" ht="15.6" x14ac:dyDescent="0.3">
      <c r="F113" s="22" t="s">
        <v>191</v>
      </c>
      <c r="G113" s="22" t="s">
        <v>192</v>
      </c>
      <c r="H113" s="1">
        <v>0</v>
      </c>
      <c r="I113" s="1">
        <v>280</v>
      </c>
      <c r="J113" s="32">
        <v>321</v>
      </c>
      <c r="K113" s="30">
        <v>41</v>
      </c>
      <c r="L113" s="32">
        <v>20</v>
      </c>
      <c r="M113" s="1" t="s">
        <v>182</v>
      </c>
    </row>
    <row r="114" spans="6:13" ht="15.6" x14ac:dyDescent="0.3">
      <c r="F114" s="22" t="s">
        <v>193</v>
      </c>
      <c r="G114" s="22" t="s">
        <v>194</v>
      </c>
      <c r="H114" s="1">
        <v>0</v>
      </c>
      <c r="I114" s="1">
        <v>0</v>
      </c>
      <c r="J114" s="32">
        <v>50</v>
      </c>
      <c r="K114" s="30">
        <v>50</v>
      </c>
      <c r="L114" s="32">
        <v>5</v>
      </c>
      <c r="M114" s="1" t="s">
        <v>182</v>
      </c>
    </row>
    <row r="115" spans="6:13" ht="15.6" x14ac:dyDescent="0.3">
      <c r="F115" s="55" t="s">
        <v>200</v>
      </c>
      <c r="G115" s="55" t="s">
        <v>201</v>
      </c>
      <c r="H115" s="1">
        <v>0</v>
      </c>
      <c r="I115" s="1">
        <v>0</v>
      </c>
      <c r="J115" s="32">
        <v>50</v>
      </c>
      <c r="K115" s="30">
        <v>50</v>
      </c>
      <c r="L115" s="32">
        <v>15</v>
      </c>
      <c r="M115" s="1" t="s">
        <v>182</v>
      </c>
    </row>
    <row r="116" spans="6:13" ht="15.6" x14ac:dyDescent="0.3">
      <c r="F116" s="55" t="s">
        <v>215</v>
      </c>
      <c r="G116" s="55" t="s">
        <v>216</v>
      </c>
      <c r="H116" s="1">
        <v>0</v>
      </c>
      <c r="I116" s="1">
        <v>0</v>
      </c>
      <c r="J116" s="53">
        <v>40</v>
      </c>
      <c r="K116" s="54">
        <v>40</v>
      </c>
      <c r="L116" s="53">
        <v>20</v>
      </c>
      <c r="M116" s="1" t="s">
        <v>182</v>
      </c>
    </row>
    <row r="117" spans="6:13" ht="15.6" x14ac:dyDescent="0.3">
      <c r="F117" s="22"/>
      <c r="G117" s="23"/>
      <c r="H117" s="1"/>
      <c r="I117" s="1"/>
      <c r="J117" s="32"/>
      <c r="K117" s="30"/>
      <c r="L117" s="32"/>
      <c r="M117" s="1"/>
    </row>
    <row r="118" spans="6:13" ht="15.6" x14ac:dyDescent="0.3">
      <c r="F118" s="22"/>
      <c r="G118" s="23"/>
      <c r="H118" s="1"/>
      <c r="I118" s="1"/>
      <c r="J118" s="32"/>
      <c r="K118" s="30"/>
      <c r="L118" s="32"/>
      <c r="M118" s="1"/>
    </row>
  </sheetData>
  <conditionalFormatting sqref="M12:M116">
    <cfRule type="containsText" dxfId="16" priority="1" operator="containsText" text="Menipis">
      <formula>NOT(ISERROR(SEARCH("Menipis",M12)))</formula>
    </cfRule>
    <cfRule type="expression" dxfId="15" priority="5">
      <formula>"Aman"</formula>
    </cfRule>
  </conditionalFormatting>
  <conditionalFormatting sqref="M12:M116">
    <cfRule type="cellIs" dxfId="14" priority="2" operator="equal">
      <formula>"Habis"</formula>
    </cfRule>
    <cfRule type="cellIs" dxfId="13" priority="3" operator="equal">
      <formula>"Hampir Habis"</formula>
    </cfRule>
    <cfRule type="cellIs" dxfId="12" priority="4" operator="equal">
      <formula>"Aman"</formula>
    </cfRule>
  </conditionalFormatting>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2B347-8884-4B21-AAD8-DB3ABF6A2E80}">
  <sheetPr codeName="Sheet1"/>
  <dimension ref="F2:BR218"/>
  <sheetViews>
    <sheetView showGridLines="0" showRowColHeaders="0" zoomScaleNormal="100" workbookViewId="0"/>
  </sheetViews>
  <sheetFormatPr defaultRowHeight="15.6" x14ac:dyDescent="0.3"/>
  <cols>
    <col min="1" max="1" width="8.88671875" style="29"/>
    <col min="2" max="4" width="8.88671875" style="29" customWidth="1"/>
    <col min="5" max="5" width="10" style="29" bestFit="1" customWidth="1"/>
    <col min="6" max="6" width="15.5546875" style="29" bestFit="1" customWidth="1"/>
    <col min="7" max="7" width="18.109375" style="29" bestFit="1" customWidth="1"/>
    <col min="8" max="8" width="11.44140625" style="23" bestFit="1" customWidth="1"/>
    <col min="9" max="9" width="11.88671875" style="22" bestFit="1" customWidth="1"/>
    <col min="10" max="10" width="16.21875" style="29" bestFit="1" customWidth="1"/>
    <col min="11" max="11" width="12.88671875" style="29" bestFit="1" customWidth="1"/>
    <col min="12" max="12" width="16.88671875" style="29" bestFit="1" customWidth="1"/>
    <col min="13" max="13" width="11.77734375" style="29" bestFit="1" customWidth="1"/>
    <col min="14" max="14" width="15.21875" style="29" customWidth="1"/>
    <col min="15" max="15" width="15.77734375" style="29" customWidth="1"/>
    <col min="16" max="16" width="11.5546875" style="29" bestFit="1" customWidth="1"/>
    <col min="17" max="17" width="9.44140625" style="29" customWidth="1"/>
    <col min="18" max="18" width="15.88671875" style="29" customWidth="1"/>
    <col min="19" max="19" width="12.6640625" style="29" customWidth="1"/>
    <col min="20" max="20" width="16.5546875" style="29" customWidth="1"/>
    <col min="21" max="53" width="8.88671875" style="29"/>
    <col min="54" max="54" width="9.77734375" style="29" bestFit="1" customWidth="1"/>
    <col min="55" max="69" width="8.88671875" style="29"/>
    <col min="70" max="70" width="2.109375" style="29" bestFit="1" customWidth="1"/>
    <col min="71" max="16384" width="8.88671875" style="29"/>
  </cols>
  <sheetData>
    <row r="2" spans="6:12" ht="15.6" customHeight="1" x14ac:dyDescent="0.5">
      <c r="F2" s="64"/>
      <c r="G2" s="64"/>
      <c r="H2" s="64"/>
      <c r="I2" s="64"/>
      <c r="J2" s="64"/>
      <c r="K2" s="64"/>
      <c r="L2" s="64"/>
    </row>
    <row r="11" spans="6:12" x14ac:dyDescent="0.3">
      <c r="F11" s="37" t="s">
        <v>0</v>
      </c>
      <c r="G11" s="38" t="s">
        <v>1</v>
      </c>
      <c r="H11" s="38" t="s">
        <v>6</v>
      </c>
      <c r="I11" s="39" t="s">
        <v>2</v>
      </c>
      <c r="J11" s="37" t="s">
        <v>3</v>
      </c>
      <c r="K11" s="37" t="s">
        <v>4</v>
      </c>
      <c r="L11" s="37" t="s">
        <v>5</v>
      </c>
    </row>
    <row r="12" spans="6:12" x14ac:dyDescent="0.3">
      <c r="F12" s="40" t="s">
        <v>78</v>
      </c>
      <c r="G12" s="41" t="s">
        <v>40</v>
      </c>
      <c r="H12" s="23" t="s">
        <v>10</v>
      </c>
      <c r="I12" s="22" t="s">
        <v>15</v>
      </c>
      <c r="J12" s="42">
        <v>20000</v>
      </c>
      <c r="K12" s="22">
        <v>255</v>
      </c>
      <c r="L12" s="22">
        <v>10</v>
      </c>
    </row>
    <row r="13" spans="6:12" x14ac:dyDescent="0.3">
      <c r="F13" s="40" t="s">
        <v>79</v>
      </c>
      <c r="G13" s="41" t="s">
        <v>72</v>
      </c>
      <c r="H13" s="23" t="s">
        <v>174</v>
      </c>
      <c r="I13" s="22" t="s">
        <v>16</v>
      </c>
      <c r="J13" s="42">
        <v>150000</v>
      </c>
      <c r="K13" s="22">
        <v>100</v>
      </c>
      <c r="L13" s="22">
        <v>10</v>
      </c>
    </row>
    <row r="14" spans="6:12" x14ac:dyDescent="0.3">
      <c r="F14" s="40" t="s">
        <v>80</v>
      </c>
      <c r="G14" s="41" t="s">
        <v>50</v>
      </c>
      <c r="H14" s="23" t="s">
        <v>8</v>
      </c>
      <c r="I14" s="22" t="s">
        <v>12</v>
      </c>
      <c r="J14" s="42">
        <v>129000</v>
      </c>
      <c r="K14" s="22">
        <v>50</v>
      </c>
      <c r="L14" s="22">
        <v>10</v>
      </c>
    </row>
    <row r="15" spans="6:12" x14ac:dyDescent="0.3">
      <c r="F15" s="43" t="s">
        <v>81</v>
      </c>
      <c r="G15" s="41" t="s">
        <v>49</v>
      </c>
      <c r="H15" s="41" t="s">
        <v>9</v>
      </c>
      <c r="I15" s="44" t="s">
        <v>15</v>
      </c>
      <c r="J15" s="45">
        <v>37900</v>
      </c>
      <c r="K15" s="35">
        <v>186</v>
      </c>
      <c r="L15" s="36">
        <v>20</v>
      </c>
    </row>
    <row r="16" spans="6:12" x14ac:dyDescent="0.3">
      <c r="F16" s="43" t="s">
        <v>23</v>
      </c>
      <c r="G16" s="41" t="s">
        <v>38</v>
      </c>
      <c r="H16" s="41" t="s">
        <v>10</v>
      </c>
      <c r="I16" s="44" t="s">
        <v>15</v>
      </c>
      <c r="J16" s="45">
        <v>147600</v>
      </c>
      <c r="K16" s="35">
        <v>160</v>
      </c>
      <c r="L16" s="36">
        <v>20</v>
      </c>
    </row>
    <row r="17" spans="6:70" x14ac:dyDescent="0.3">
      <c r="F17" s="43" t="s">
        <v>82</v>
      </c>
      <c r="G17" s="41" t="s">
        <v>64</v>
      </c>
      <c r="H17" s="46" t="s">
        <v>10</v>
      </c>
      <c r="I17" s="44" t="s">
        <v>16</v>
      </c>
      <c r="J17" s="45">
        <v>135300</v>
      </c>
      <c r="K17" s="35">
        <v>278</v>
      </c>
      <c r="L17" s="36">
        <v>20</v>
      </c>
    </row>
    <row r="18" spans="6:70" x14ac:dyDescent="0.3">
      <c r="F18" s="43" t="s">
        <v>83</v>
      </c>
      <c r="G18" s="41" t="s">
        <v>57</v>
      </c>
      <c r="H18" s="23" t="s">
        <v>10</v>
      </c>
      <c r="I18" s="44" t="s">
        <v>16</v>
      </c>
      <c r="J18" s="45">
        <v>157500</v>
      </c>
      <c r="K18" s="35">
        <v>64</v>
      </c>
      <c r="L18" s="36">
        <v>20</v>
      </c>
    </row>
    <row r="19" spans="6:70" x14ac:dyDescent="0.3">
      <c r="F19" s="43" t="s">
        <v>84</v>
      </c>
      <c r="G19" s="41" t="s">
        <v>59</v>
      </c>
      <c r="H19" s="47" t="s">
        <v>11</v>
      </c>
      <c r="I19" s="44" t="s">
        <v>18</v>
      </c>
      <c r="J19" s="45">
        <v>6800</v>
      </c>
      <c r="K19" s="35">
        <v>300</v>
      </c>
      <c r="L19" s="36">
        <v>30</v>
      </c>
    </row>
    <row r="20" spans="6:70" x14ac:dyDescent="0.3">
      <c r="F20" s="43" t="s">
        <v>85</v>
      </c>
      <c r="G20" s="41" t="s">
        <v>61</v>
      </c>
      <c r="H20" s="41" t="s">
        <v>9</v>
      </c>
      <c r="I20" s="44" t="s">
        <v>14</v>
      </c>
      <c r="J20" s="45">
        <v>169000</v>
      </c>
      <c r="K20" s="35">
        <v>173</v>
      </c>
      <c r="L20" s="36">
        <v>30</v>
      </c>
    </row>
    <row r="21" spans="6:70" x14ac:dyDescent="0.3">
      <c r="F21" s="43" t="s">
        <v>24</v>
      </c>
      <c r="G21" s="41" t="s">
        <v>165</v>
      </c>
      <c r="H21" s="41" t="s">
        <v>174</v>
      </c>
      <c r="I21" s="44" t="s">
        <v>16</v>
      </c>
      <c r="J21" s="45">
        <v>20000</v>
      </c>
      <c r="K21" s="35">
        <v>52</v>
      </c>
      <c r="L21" s="36">
        <v>30</v>
      </c>
    </row>
    <row r="22" spans="6:70" x14ac:dyDescent="0.3">
      <c r="F22" s="43" t="s">
        <v>86</v>
      </c>
      <c r="G22" s="41" t="s">
        <v>62</v>
      </c>
      <c r="H22" s="41" t="s">
        <v>174</v>
      </c>
      <c r="I22" s="44" t="s">
        <v>16</v>
      </c>
      <c r="J22" s="45">
        <v>151000</v>
      </c>
      <c r="K22" s="35">
        <v>284</v>
      </c>
      <c r="L22" s="36">
        <v>10</v>
      </c>
    </row>
    <row r="23" spans="6:70" x14ac:dyDescent="0.3">
      <c r="F23" s="43" t="s">
        <v>87</v>
      </c>
      <c r="G23" s="41" t="s">
        <v>55</v>
      </c>
      <c r="H23" s="41" t="s">
        <v>7</v>
      </c>
      <c r="I23" s="44" t="s">
        <v>12</v>
      </c>
      <c r="J23" s="45">
        <v>196600</v>
      </c>
      <c r="K23" s="35">
        <v>87</v>
      </c>
      <c r="L23" s="36">
        <v>20</v>
      </c>
    </row>
    <row r="24" spans="6:70" x14ac:dyDescent="0.3">
      <c r="F24" s="43" t="s">
        <v>88</v>
      </c>
      <c r="G24" s="41" t="s">
        <v>63</v>
      </c>
      <c r="H24" s="46" t="s">
        <v>8</v>
      </c>
      <c r="I24" s="44" t="s">
        <v>16</v>
      </c>
      <c r="J24" s="45">
        <v>25600</v>
      </c>
      <c r="K24" s="35">
        <v>124</v>
      </c>
      <c r="L24" s="36">
        <v>10</v>
      </c>
    </row>
    <row r="25" spans="6:70" x14ac:dyDescent="0.3">
      <c r="F25" s="43" t="s">
        <v>89</v>
      </c>
      <c r="G25" s="41" t="s">
        <v>37</v>
      </c>
      <c r="H25" s="23" t="s">
        <v>7</v>
      </c>
      <c r="I25" s="44" t="s">
        <v>17</v>
      </c>
      <c r="J25" s="45">
        <v>110600</v>
      </c>
      <c r="K25" s="35">
        <v>81</v>
      </c>
      <c r="L25" s="36">
        <v>30</v>
      </c>
    </row>
    <row r="26" spans="6:70" x14ac:dyDescent="0.3">
      <c r="F26" s="43" t="s">
        <v>25</v>
      </c>
      <c r="G26" s="41" t="s">
        <v>66</v>
      </c>
      <c r="H26" s="23" t="s">
        <v>8</v>
      </c>
      <c r="I26" s="44" t="s">
        <v>16</v>
      </c>
      <c r="J26" s="45">
        <v>174600</v>
      </c>
      <c r="K26" s="35">
        <v>181</v>
      </c>
      <c r="L26" s="36">
        <v>30</v>
      </c>
    </row>
    <row r="27" spans="6:70" x14ac:dyDescent="0.3">
      <c r="F27" s="43" t="s">
        <v>90</v>
      </c>
      <c r="G27" s="41" t="s">
        <v>39</v>
      </c>
      <c r="H27" s="47" t="s">
        <v>7</v>
      </c>
      <c r="I27" s="44" t="s">
        <v>12</v>
      </c>
      <c r="J27" s="45">
        <v>134300</v>
      </c>
      <c r="K27" s="35">
        <v>267</v>
      </c>
      <c r="L27" s="36">
        <v>30</v>
      </c>
    </row>
    <row r="28" spans="6:70" x14ac:dyDescent="0.3">
      <c r="F28" s="43" t="s">
        <v>91</v>
      </c>
      <c r="G28" s="41" t="s">
        <v>76</v>
      </c>
      <c r="H28" s="41" t="s">
        <v>11</v>
      </c>
      <c r="I28" s="44" t="s">
        <v>13</v>
      </c>
      <c r="J28" s="45">
        <v>92800</v>
      </c>
      <c r="K28" s="35">
        <v>187</v>
      </c>
      <c r="L28" s="36">
        <v>10</v>
      </c>
      <c r="BR28" s="29">
        <f>COUNTA(#REF!)</f>
        <v>1</v>
      </c>
    </row>
    <row r="29" spans="6:70" x14ac:dyDescent="0.3">
      <c r="F29" s="43" t="s">
        <v>26</v>
      </c>
      <c r="G29" s="41" t="s">
        <v>39</v>
      </c>
      <c r="H29" s="41" t="s">
        <v>7</v>
      </c>
      <c r="I29" s="44" t="s">
        <v>15</v>
      </c>
      <c r="J29" s="45">
        <v>199000</v>
      </c>
      <c r="K29" s="35">
        <v>45</v>
      </c>
      <c r="L29" s="36">
        <v>10</v>
      </c>
    </row>
    <row r="30" spans="6:70" x14ac:dyDescent="0.3">
      <c r="F30" s="43" t="s">
        <v>92</v>
      </c>
      <c r="G30" s="41" t="s">
        <v>64</v>
      </c>
      <c r="H30" s="41" t="s">
        <v>10</v>
      </c>
      <c r="I30" s="44" t="s">
        <v>17</v>
      </c>
      <c r="J30" s="45">
        <v>155600</v>
      </c>
      <c r="K30" s="35">
        <v>179</v>
      </c>
      <c r="L30" s="36">
        <v>30</v>
      </c>
    </row>
    <row r="31" spans="6:70" x14ac:dyDescent="0.3">
      <c r="F31" s="43" t="s">
        <v>93</v>
      </c>
      <c r="G31" s="41" t="s">
        <v>61</v>
      </c>
      <c r="H31" s="41" t="s">
        <v>9</v>
      </c>
      <c r="I31" s="44" t="s">
        <v>15</v>
      </c>
      <c r="J31" s="45">
        <v>132000</v>
      </c>
      <c r="K31" s="35">
        <v>228</v>
      </c>
      <c r="L31" s="36">
        <v>30</v>
      </c>
    </row>
    <row r="32" spans="6:70" x14ac:dyDescent="0.3">
      <c r="F32" s="43" t="s">
        <v>94</v>
      </c>
      <c r="G32" s="41" t="s">
        <v>72</v>
      </c>
      <c r="H32" s="41" t="s">
        <v>174</v>
      </c>
      <c r="I32" s="44" t="s">
        <v>13</v>
      </c>
      <c r="J32" s="45">
        <v>55600</v>
      </c>
      <c r="K32" s="35">
        <v>295</v>
      </c>
      <c r="L32" s="36">
        <v>30</v>
      </c>
    </row>
    <row r="33" spans="6:12" x14ac:dyDescent="0.3">
      <c r="F33" s="43" t="s">
        <v>95</v>
      </c>
      <c r="G33" s="41" t="s">
        <v>166</v>
      </c>
      <c r="H33" s="41" t="s">
        <v>11</v>
      </c>
      <c r="I33" s="44" t="s">
        <v>18</v>
      </c>
      <c r="J33" s="45">
        <v>19700</v>
      </c>
      <c r="K33" s="35">
        <v>152</v>
      </c>
      <c r="L33" s="36">
        <v>20</v>
      </c>
    </row>
    <row r="34" spans="6:12" x14ac:dyDescent="0.3">
      <c r="F34" s="43" t="s">
        <v>27</v>
      </c>
      <c r="G34" s="41" t="s">
        <v>65</v>
      </c>
      <c r="H34" s="41" t="s">
        <v>10</v>
      </c>
      <c r="I34" s="44" t="s">
        <v>17</v>
      </c>
      <c r="J34" s="45">
        <v>69600</v>
      </c>
      <c r="K34" s="35">
        <v>249</v>
      </c>
      <c r="L34" s="36">
        <v>30</v>
      </c>
    </row>
    <row r="35" spans="6:12" x14ac:dyDescent="0.3">
      <c r="F35" s="43" t="s">
        <v>28</v>
      </c>
      <c r="G35" s="41" t="s">
        <v>67</v>
      </c>
      <c r="H35" s="46" t="s">
        <v>9</v>
      </c>
      <c r="I35" s="44" t="s">
        <v>12</v>
      </c>
      <c r="J35" s="45">
        <v>175900</v>
      </c>
      <c r="K35" s="35">
        <v>23</v>
      </c>
      <c r="L35" s="36">
        <v>30</v>
      </c>
    </row>
    <row r="36" spans="6:12" x14ac:dyDescent="0.3">
      <c r="F36" s="43" t="s">
        <v>96</v>
      </c>
      <c r="G36" s="41" t="s">
        <v>52</v>
      </c>
      <c r="H36" s="23" t="s">
        <v>9</v>
      </c>
      <c r="I36" s="44" t="s">
        <v>14</v>
      </c>
      <c r="J36" s="45">
        <v>134400</v>
      </c>
      <c r="K36" s="35">
        <v>218</v>
      </c>
      <c r="L36" s="36">
        <v>30</v>
      </c>
    </row>
    <row r="37" spans="6:12" x14ac:dyDescent="0.3">
      <c r="F37" s="43" t="s">
        <v>97</v>
      </c>
      <c r="G37" s="41" t="s">
        <v>42</v>
      </c>
      <c r="H37" s="47" t="s">
        <v>11</v>
      </c>
      <c r="I37" s="44" t="s">
        <v>18</v>
      </c>
      <c r="J37" s="45">
        <v>152300</v>
      </c>
      <c r="K37" s="35">
        <v>54</v>
      </c>
      <c r="L37" s="36">
        <v>10</v>
      </c>
    </row>
    <row r="38" spans="6:12" x14ac:dyDescent="0.3">
      <c r="F38" s="43" t="s">
        <v>98</v>
      </c>
      <c r="G38" s="41" t="s">
        <v>53</v>
      </c>
      <c r="H38" s="41" t="s">
        <v>8</v>
      </c>
      <c r="I38" s="44" t="s">
        <v>13</v>
      </c>
      <c r="J38" s="45">
        <v>4800</v>
      </c>
      <c r="K38" s="35">
        <v>114</v>
      </c>
      <c r="L38" s="36">
        <v>20</v>
      </c>
    </row>
    <row r="39" spans="6:12" x14ac:dyDescent="0.3">
      <c r="F39" s="43" t="s">
        <v>99</v>
      </c>
      <c r="G39" s="41" t="s">
        <v>46</v>
      </c>
      <c r="H39" s="41" t="s">
        <v>7</v>
      </c>
      <c r="I39" s="44" t="s">
        <v>12</v>
      </c>
      <c r="J39" s="45">
        <v>65000</v>
      </c>
      <c r="K39" s="35">
        <v>270</v>
      </c>
      <c r="L39" s="36">
        <v>20</v>
      </c>
    </row>
    <row r="40" spans="6:12" x14ac:dyDescent="0.3">
      <c r="F40" s="43" t="s">
        <v>29</v>
      </c>
      <c r="G40" s="41" t="s">
        <v>51</v>
      </c>
      <c r="H40" s="41" t="s">
        <v>7</v>
      </c>
      <c r="I40" s="44" t="s">
        <v>15</v>
      </c>
      <c r="J40" s="45">
        <v>84000</v>
      </c>
      <c r="K40" s="35">
        <v>70</v>
      </c>
      <c r="L40" s="36">
        <v>30</v>
      </c>
    </row>
    <row r="41" spans="6:12" x14ac:dyDescent="0.3">
      <c r="F41" s="43" t="s">
        <v>100</v>
      </c>
      <c r="G41" s="41" t="s">
        <v>41</v>
      </c>
      <c r="H41" s="41" t="s">
        <v>174</v>
      </c>
      <c r="I41" s="44" t="s">
        <v>13</v>
      </c>
      <c r="J41" s="45">
        <v>107600</v>
      </c>
      <c r="K41" s="35">
        <v>165</v>
      </c>
      <c r="L41" s="36">
        <v>30</v>
      </c>
    </row>
    <row r="42" spans="6:12" x14ac:dyDescent="0.3">
      <c r="F42" s="43" t="s">
        <v>101</v>
      </c>
      <c r="G42" s="41" t="s">
        <v>167</v>
      </c>
      <c r="H42" s="41" t="s">
        <v>8</v>
      </c>
      <c r="I42" s="44" t="s">
        <v>16</v>
      </c>
      <c r="J42" s="45">
        <v>5600</v>
      </c>
      <c r="K42" s="35">
        <v>272</v>
      </c>
      <c r="L42" s="36">
        <v>10</v>
      </c>
    </row>
    <row r="43" spans="6:12" x14ac:dyDescent="0.3">
      <c r="F43" s="43" t="s">
        <v>102</v>
      </c>
      <c r="G43" s="41" t="s">
        <v>58</v>
      </c>
      <c r="H43" s="41" t="s">
        <v>7</v>
      </c>
      <c r="I43" s="44" t="s">
        <v>12</v>
      </c>
      <c r="J43" s="45">
        <v>188000</v>
      </c>
      <c r="K43" s="35">
        <v>56</v>
      </c>
      <c r="L43" s="36">
        <v>30</v>
      </c>
    </row>
    <row r="44" spans="6:12" x14ac:dyDescent="0.3">
      <c r="F44" s="43" t="s">
        <v>103</v>
      </c>
      <c r="G44" s="41" t="s">
        <v>71</v>
      </c>
      <c r="H44" s="41" t="s">
        <v>174</v>
      </c>
      <c r="I44" s="44" t="s">
        <v>13</v>
      </c>
      <c r="J44" s="45">
        <v>199500</v>
      </c>
      <c r="K44" s="35">
        <v>295</v>
      </c>
      <c r="L44" s="36">
        <v>20</v>
      </c>
    </row>
    <row r="45" spans="6:12" x14ac:dyDescent="0.3">
      <c r="F45" s="43" t="s">
        <v>104</v>
      </c>
      <c r="G45" s="41" t="s">
        <v>166</v>
      </c>
      <c r="H45" s="41" t="s">
        <v>11</v>
      </c>
      <c r="I45" s="44" t="s">
        <v>18</v>
      </c>
      <c r="J45" s="45">
        <v>197600</v>
      </c>
      <c r="K45" s="35">
        <v>29</v>
      </c>
      <c r="L45" s="36">
        <v>20</v>
      </c>
    </row>
    <row r="46" spans="6:12" x14ac:dyDescent="0.3">
      <c r="F46" s="43" t="s">
        <v>105</v>
      </c>
      <c r="G46" s="41" t="s">
        <v>53</v>
      </c>
      <c r="H46" s="41" t="s">
        <v>8</v>
      </c>
      <c r="I46" s="44" t="s">
        <v>13</v>
      </c>
      <c r="J46" s="45">
        <v>105400</v>
      </c>
      <c r="K46" s="35">
        <v>214</v>
      </c>
      <c r="L46" s="36">
        <v>30</v>
      </c>
    </row>
    <row r="47" spans="6:12" x14ac:dyDescent="0.3">
      <c r="F47" s="43" t="s">
        <v>106</v>
      </c>
      <c r="G47" s="41" t="s">
        <v>57</v>
      </c>
      <c r="H47" s="41" t="s">
        <v>10</v>
      </c>
      <c r="I47" s="44" t="s">
        <v>16</v>
      </c>
      <c r="J47" s="45">
        <v>51800</v>
      </c>
      <c r="K47" s="35">
        <v>295</v>
      </c>
      <c r="L47" s="36">
        <v>30</v>
      </c>
    </row>
    <row r="48" spans="6:12" x14ac:dyDescent="0.3">
      <c r="F48" s="43" t="s">
        <v>107</v>
      </c>
      <c r="G48" s="41" t="s">
        <v>74</v>
      </c>
      <c r="H48" s="41" t="s">
        <v>10</v>
      </c>
      <c r="I48" s="44" t="s">
        <v>15</v>
      </c>
      <c r="J48" s="45">
        <v>68200</v>
      </c>
      <c r="K48" s="35">
        <v>147</v>
      </c>
      <c r="L48" s="36">
        <v>20</v>
      </c>
    </row>
    <row r="49" spans="6:12" x14ac:dyDescent="0.3">
      <c r="F49" s="43" t="s">
        <v>108</v>
      </c>
      <c r="G49" s="41" t="s">
        <v>168</v>
      </c>
      <c r="H49" s="41" t="s">
        <v>8</v>
      </c>
      <c r="I49" s="44" t="s">
        <v>13</v>
      </c>
      <c r="J49" s="45">
        <v>20400</v>
      </c>
      <c r="K49" s="35">
        <v>290</v>
      </c>
      <c r="L49" s="36">
        <v>10</v>
      </c>
    </row>
    <row r="50" spans="6:12" x14ac:dyDescent="0.3">
      <c r="F50" s="43" t="s">
        <v>30</v>
      </c>
      <c r="G50" s="41" t="s">
        <v>43</v>
      </c>
      <c r="H50" s="41" t="s">
        <v>11</v>
      </c>
      <c r="I50" s="44" t="s">
        <v>18</v>
      </c>
      <c r="J50" s="45">
        <v>190200</v>
      </c>
      <c r="K50" s="35">
        <v>240</v>
      </c>
      <c r="L50" s="36">
        <v>20</v>
      </c>
    </row>
    <row r="51" spans="6:12" x14ac:dyDescent="0.3">
      <c r="F51" s="43" t="s">
        <v>109</v>
      </c>
      <c r="G51" s="41" t="s">
        <v>169</v>
      </c>
      <c r="H51" s="41" t="s">
        <v>174</v>
      </c>
      <c r="I51" s="44" t="s">
        <v>16</v>
      </c>
      <c r="J51" s="45">
        <v>64600</v>
      </c>
      <c r="K51" s="35">
        <v>190</v>
      </c>
      <c r="L51" s="36">
        <v>30</v>
      </c>
    </row>
    <row r="52" spans="6:12" x14ac:dyDescent="0.3">
      <c r="F52" s="43" t="s">
        <v>31</v>
      </c>
      <c r="G52" s="41" t="s">
        <v>39</v>
      </c>
      <c r="H52" s="41" t="s">
        <v>7</v>
      </c>
      <c r="I52" s="44" t="s">
        <v>17</v>
      </c>
      <c r="J52" s="45">
        <v>16000</v>
      </c>
      <c r="K52" s="35">
        <v>27</v>
      </c>
      <c r="L52" s="36">
        <v>20</v>
      </c>
    </row>
    <row r="53" spans="6:12" x14ac:dyDescent="0.3">
      <c r="F53" s="43" t="s">
        <v>110</v>
      </c>
      <c r="G53" s="41" t="s">
        <v>55</v>
      </c>
      <c r="H53" s="41" t="s">
        <v>7</v>
      </c>
      <c r="I53" s="44" t="s">
        <v>17</v>
      </c>
      <c r="J53" s="45">
        <v>41600</v>
      </c>
      <c r="K53" s="35">
        <v>52</v>
      </c>
      <c r="L53" s="36">
        <v>20</v>
      </c>
    </row>
    <row r="54" spans="6:12" x14ac:dyDescent="0.3">
      <c r="F54" s="43" t="s">
        <v>111</v>
      </c>
      <c r="G54" s="41" t="s">
        <v>69</v>
      </c>
      <c r="H54" s="41" t="s">
        <v>11</v>
      </c>
      <c r="I54" s="44" t="s">
        <v>13</v>
      </c>
      <c r="J54" s="45">
        <v>90800</v>
      </c>
      <c r="K54" s="35">
        <v>139</v>
      </c>
      <c r="L54" s="36">
        <v>10</v>
      </c>
    </row>
    <row r="55" spans="6:12" x14ac:dyDescent="0.3">
      <c r="F55" s="43" t="s">
        <v>112</v>
      </c>
      <c r="G55" s="41" t="s">
        <v>76</v>
      </c>
      <c r="H55" s="41" t="s">
        <v>11</v>
      </c>
      <c r="I55" s="44" t="s">
        <v>13</v>
      </c>
      <c r="J55" s="45">
        <v>47200</v>
      </c>
      <c r="K55" s="35">
        <v>234</v>
      </c>
      <c r="L55" s="36">
        <v>10</v>
      </c>
    </row>
    <row r="56" spans="6:12" x14ac:dyDescent="0.3">
      <c r="F56" s="43" t="s">
        <v>113</v>
      </c>
      <c r="G56" s="41" t="s">
        <v>169</v>
      </c>
      <c r="H56" s="41" t="s">
        <v>174</v>
      </c>
      <c r="I56" s="44" t="s">
        <v>16</v>
      </c>
      <c r="J56" s="45">
        <v>65400</v>
      </c>
      <c r="K56" s="35">
        <v>120</v>
      </c>
      <c r="L56" s="36">
        <v>10</v>
      </c>
    </row>
    <row r="57" spans="6:12" x14ac:dyDescent="0.3">
      <c r="F57" s="43" t="s">
        <v>114</v>
      </c>
      <c r="G57" s="41" t="s">
        <v>60</v>
      </c>
      <c r="H57" s="41" t="s">
        <v>174</v>
      </c>
      <c r="I57" s="44" t="s">
        <v>16</v>
      </c>
      <c r="J57" s="45">
        <v>65200</v>
      </c>
      <c r="K57" s="35">
        <v>59</v>
      </c>
      <c r="L57" s="36">
        <v>10</v>
      </c>
    </row>
    <row r="58" spans="6:12" x14ac:dyDescent="0.3">
      <c r="F58" s="43" t="s">
        <v>115</v>
      </c>
      <c r="G58" s="41" t="s">
        <v>74</v>
      </c>
      <c r="H58" s="41" t="s">
        <v>10</v>
      </c>
      <c r="I58" s="44" t="s">
        <v>17</v>
      </c>
      <c r="J58" s="45">
        <v>182400</v>
      </c>
      <c r="K58" s="35">
        <v>109</v>
      </c>
      <c r="L58" s="36">
        <v>10</v>
      </c>
    </row>
    <row r="59" spans="6:12" x14ac:dyDescent="0.3">
      <c r="F59" s="43" t="s">
        <v>116</v>
      </c>
      <c r="G59" s="41" t="s">
        <v>62</v>
      </c>
      <c r="H59" s="41" t="s">
        <v>174</v>
      </c>
      <c r="I59" s="44" t="s">
        <v>16</v>
      </c>
      <c r="J59" s="45">
        <v>168400</v>
      </c>
      <c r="K59" s="35">
        <v>291</v>
      </c>
      <c r="L59" s="36">
        <v>20</v>
      </c>
    </row>
    <row r="60" spans="6:12" x14ac:dyDescent="0.3">
      <c r="F60" s="43" t="s">
        <v>117</v>
      </c>
      <c r="G60" s="41" t="s">
        <v>63</v>
      </c>
      <c r="H60" s="41" t="s">
        <v>8</v>
      </c>
      <c r="I60" s="44" t="s">
        <v>13</v>
      </c>
      <c r="J60" s="45">
        <v>50600</v>
      </c>
      <c r="K60" s="35">
        <v>133</v>
      </c>
      <c r="L60" s="36">
        <v>20</v>
      </c>
    </row>
    <row r="61" spans="6:12" x14ac:dyDescent="0.3">
      <c r="F61" s="43" t="s">
        <v>118</v>
      </c>
      <c r="G61" s="41" t="s">
        <v>169</v>
      </c>
      <c r="H61" s="46" t="s">
        <v>174</v>
      </c>
      <c r="I61" s="44" t="s">
        <v>13</v>
      </c>
      <c r="J61" s="45">
        <v>184600</v>
      </c>
      <c r="K61" s="35">
        <v>170</v>
      </c>
      <c r="L61" s="36">
        <v>30</v>
      </c>
    </row>
    <row r="62" spans="6:12" x14ac:dyDescent="0.3">
      <c r="F62" s="43" t="s">
        <v>119</v>
      </c>
      <c r="G62" s="41" t="s">
        <v>77</v>
      </c>
      <c r="H62" s="23" t="s">
        <v>11</v>
      </c>
      <c r="I62" s="44" t="s">
        <v>13</v>
      </c>
      <c r="J62" s="45">
        <v>16100</v>
      </c>
      <c r="K62" s="35">
        <v>279</v>
      </c>
      <c r="L62" s="36">
        <v>30</v>
      </c>
    </row>
    <row r="63" spans="6:12" x14ac:dyDescent="0.3">
      <c r="F63" s="43" t="s">
        <v>120</v>
      </c>
      <c r="G63" s="41" t="s">
        <v>41</v>
      </c>
      <c r="H63" s="23" t="s">
        <v>174</v>
      </c>
      <c r="I63" s="44" t="s">
        <v>13</v>
      </c>
      <c r="J63" s="45">
        <v>37300</v>
      </c>
      <c r="K63" s="35">
        <v>51</v>
      </c>
      <c r="L63" s="36">
        <v>20</v>
      </c>
    </row>
    <row r="64" spans="6:12" x14ac:dyDescent="0.3">
      <c r="F64" s="43" t="s">
        <v>121</v>
      </c>
      <c r="G64" s="41" t="s">
        <v>62</v>
      </c>
      <c r="H64" s="23" t="s">
        <v>174</v>
      </c>
      <c r="I64" s="44" t="s">
        <v>13</v>
      </c>
      <c r="J64" s="45">
        <v>157300</v>
      </c>
      <c r="K64" s="35">
        <v>244</v>
      </c>
      <c r="L64" s="36">
        <v>20</v>
      </c>
    </row>
    <row r="65" spans="6:12" x14ac:dyDescent="0.3">
      <c r="F65" s="43" t="s">
        <v>122</v>
      </c>
      <c r="G65" s="41" t="s">
        <v>54</v>
      </c>
      <c r="H65" s="47" t="s">
        <v>7</v>
      </c>
      <c r="I65" s="44" t="s">
        <v>15</v>
      </c>
      <c r="J65" s="45">
        <v>131700</v>
      </c>
      <c r="K65" s="35">
        <v>218</v>
      </c>
      <c r="L65" s="36">
        <v>10</v>
      </c>
    </row>
    <row r="66" spans="6:12" x14ac:dyDescent="0.3">
      <c r="F66" s="43" t="s">
        <v>123</v>
      </c>
      <c r="G66" s="41" t="s">
        <v>48</v>
      </c>
      <c r="H66" s="41" t="s">
        <v>10</v>
      </c>
      <c r="I66" s="44" t="s">
        <v>17</v>
      </c>
      <c r="J66" s="45">
        <v>179000</v>
      </c>
      <c r="K66" s="35">
        <v>229</v>
      </c>
      <c r="L66" s="36">
        <v>10</v>
      </c>
    </row>
    <row r="67" spans="6:12" x14ac:dyDescent="0.3">
      <c r="F67" s="43" t="s">
        <v>124</v>
      </c>
      <c r="G67" s="41" t="s">
        <v>74</v>
      </c>
      <c r="H67" s="41" t="s">
        <v>10</v>
      </c>
      <c r="I67" s="44" t="s">
        <v>17</v>
      </c>
      <c r="J67" s="45">
        <v>131500</v>
      </c>
      <c r="K67" s="35">
        <v>91</v>
      </c>
      <c r="L67" s="36">
        <v>10</v>
      </c>
    </row>
    <row r="68" spans="6:12" x14ac:dyDescent="0.3">
      <c r="F68" s="43" t="s">
        <v>125</v>
      </c>
      <c r="G68" s="41" t="s">
        <v>55</v>
      </c>
      <c r="H68" s="41" t="s">
        <v>7</v>
      </c>
      <c r="I68" s="44" t="s">
        <v>15</v>
      </c>
      <c r="J68" s="45">
        <v>20400</v>
      </c>
      <c r="K68" s="35">
        <v>150</v>
      </c>
      <c r="L68" s="36">
        <v>20</v>
      </c>
    </row>
    <row r="69" spans="6:12" x14ac:dyDescent="0.3">
      <c r="F69" s="43" t="s">
        <v>126</v>
      </c>
      <c r="G69" s="41" t="s">
        <v>170</v>
      </c>
      <c r="H69" s="41" t="s">
        <v>11</v>
      </c>
      <c r="I69" s="44" t="s">
        <v>13</v>
      </c>
      <c r="J69" s="45">
        <v>164900</v>
      </c>
      <c r="K69" s="35">
        <v>222</v>
      </c>
      <c r="L69" s="36">
        <v>30</v>
      </c>
    </row>
    <row r="70" spans="6:12" x14ac:dyDescent="0.3">
      <c r="F70" s="43" t="s">
        <v>127</v>
      </c>
      <c r="G70" s="41" t="s">
        <v>62</v>
      </c>
      <c r="H70" s="41" t="s">
        <v>174</v>
      </c>
      <c r="I70" s="44" t="s">
        <v>13</v>
      </c>
      <c r="J70" s="45">
        <v>136800</v>
      </c>
      <c r="K70" s="35">
        <v>294</v>
      </c>
      <c r="L70" s="36">
        <v>30</v>
      </c>
    </row>
    <row r="71" spans="6:12" x14ac:dyDescent="0.3">
      <c r="F71" s="43" t="s">
        <v>128</v>
      </c>
      <c r="G71" s="41" t="s">
        <v>40</v>
      </c>
      <c r="H71" s="41" t="s">
        <v>10</v>
      </c>
      <c r="I71" s="44" t="s">
        <v>15</v>
      </c>
      <c r="J71" s="45">
        <v>94400</v>
      </c>
      <c r="K71" s="35">
        <v>73</v>
      </c>
      <c r="L71" s="36">
        <v>30</v>
      </c>
    </row>
    <row r="72" spans="6:12" x14ac:dyDescent="0.3">
      <c r="F72" s="43" t="s">
        <v>129</v>
      </c>
      <c r="G72" s="41" t="s">
        <v>70</v>
      </c>
      <c r="H72" s="41" t="s">
        <v>7</v>
      </c>
      <c r="I72" s="44" t="s">
        <v>12</v>
      </c>
      <c r="J72" s="45">
        <v>54300</v>
      </c>
      <c r="K72" s="35">
        <v>56</v>
      </c>
      <c r="L72" s="36">
        <v>30</v>
      </c>
    </row>
    <row r="73" spans="6:12" x14ac:dyDescent="0.3">
      <c r="F73" s="43" t="s">
        <v>130</v>
      </c>
      <c r="G73" s="41" t="s">
        <v>45</v>
      </c>
      <c r="H73" s="41" t="s">
        <v>7</v>
      </c>
      <c r="I73" s="44" t="s">
        <v>12</v>
      </c>
      <c r="J73" s="45">
        <v>140000</v>
      </c>
      <c r="K73" s="35">
        <v>129</v>
      </c>
      <c r="L73" s="36">
        <v>10</v>
      </c>
    </row>
    <row r="74" spans="6:12" x14ac:dyDescent="0.3">
      <c r="F74" s="43" t="s">
        <v>131</v>
      </c>
      <c r="G74" s="41" t="s">
        <v>45</v>
      </c>
      <c r="H74" s="41" t="s">
        <v>7</v>
      </c>
      <c r="I74" s="44" t="s">
        <v>15</v>
      </c>
      <c r="J74" s="45">
        <v>72000</v>
      </c>
      <c r="K74" s="35">
        <v>98</v>
      </c>
      <c r="L74" s="36">
        <v>20</v>
      </c>
    </row>
    <row r="75" spans="6:12" x14ac:dyDescent="0.3">
      <c r="F75" s="43" t="s">
        <v>132</v>
      </c>
      <c r="G75" s="41" t="s">
        <v>61</v>
      </c>
      <c r="H75" s="41" t="s">
        <v>9</v>
      </c>
      <c r="I75" s="44" t="s">
        <v>14</v>
      </c>
      <c r="J75" s="45">
        <v>92900</v>
      </c>
      <c r="K75" s="35">
        <v>194</v>
      </c>
      <c r="L75" s="36">
        <v>20</v>
      </c>
    </row>
    <row r="76" spans="6:12" x14ac:dyDescent="0.3">
      <c r="F76" s="43" t="s">
        <v>133</v>
      </c>
      <c r="G76" s="41" t="s">
        <v>37</v>
      </c>
      <c r="H76" s="41" t="s">
        <v>7</v>
      </c>
      <c r="I76" s="44" t="s">
        <v>15</v>
      </c>
      <c r="J76" s="45">
        <v>15700</v>
      </c>
      <c r="K76" s="35">
        <v>222</v>
      </c>
      <c r="L76" s="36">
        <v>20</v>
      </c>
    </row>
    <row r="77" spans="6:12" x14ac:dyDescent="0.3">
      <c r="F77" s="43" t="s">
        <v>134</v>
      </c>
      <c r="G77" s="41" t="s">
        <v>44</v>
      </c>
      <c r="H77" s="41" t="s">
        <v>9</v>
      </c>
      <c r="I77" s="44" t="s">
        <v>14</v>
      </c>
      <c r="J77" s="45">
        <v>120700</v>
      </c>
      <c r="K77" s="35">
        <v>107</v>
      </c>
      <c r="L77" s="36">
        <v>20</v>
      </c>
    </row>
    <row r="78" spans="6:12" x14ac:dyDescent="0.3">
      <c r="F78" s="43" t="s">
        <v>32</v>
      </c>
      <c r="G78" s="41" t="s">
        <v>68</v>
      </c>
      <c r="H78" s="41" t="s">
        <v>9</v>
      </c>
      <c r="I78" s="44" t="s">
        <v>12</v>
      </c>
      <c r="J78" s="45">
        <v>25700</v>
      </c>
      <c r="K78" s="35">
        <v>178</v>
      </c>
      <c r="L78" s="36">
        <v>30</v>
      </c>
    </row>
    <row r="79" spans="6:12" x14ac:dyDescent="0.3">
      <c r="F79" s="43" t="s">
        <v>135</v>
      </c>
      <c r="G79" s="41" t="s">
        <v>53</v>
      </c>
      <c r="H79" s="41" t="s">
        <v>8</v>
      </c>
      <c r="I79" s="44" t="s">
        <v>16</v>
      </c>
      <c r="J79" s="45">
        <v>49900</v>
      </c>
      <c r="K79" s="35">
        <v>138</v>
      </c>
      <c r="L79" s="36">
        <v>30</v>
      </c>
    </row>
    <row r="80" spans="6:12" x14ac:dyDescent="0.3">
      <c r="F80" s="43" t="s">
        <v>136</v>
      </c>
      <c r="G80" s="41" t="s">
        <v>74</v>
      </c>
      <c r="H80" s="41" t="s">
        <v>10</v>
      </c>
      <c r="I80" s="44" t="s">
        <v>15</v>
      </c>
      <c r="J80" s="45">
        <v>24100</v>
      </c>
      <c r="K80" s="35">
        <v>100</v>
      </c>
      <c r="L80" s="36">
        <v>30</v>
      </c>
    </row>
    <row r="81" spans="6:12" x14ac:dyDescent="0.3">
      <c r="F81" s="43" t="s">
        <v>137</v>
      </c>
      <c r="G81" s="41" t="s">
        <v>39</v>
      </c>
      <c r="H81" s="41" t="s">
        <v>7</v>
      </c>
      <c r="I81" s="44" t="s">
        <v>15</v>
      </c>
      <c r="J81" s="45">
        <v>122500</v>
      </c>
      <c r="K81" s="35">
        <v>159</v>
      </c>
      <c r="L81" s="36">
        <v>10</v>
      </c>
    </row>
    <row r="82" spans="6:12" x14ac:dyDescent="0.3">
      <c r="F82" s="43" t="s">
        <v>138</v>
      </c>
      <c r="G82" s="41" t="s">
        <v>74</v>
      </c>
      <c r="H82" s="41" t="s">
        <v>10</v>
      </c>
      <c r="I82" s="44" t="s">
        <v>17</v>
      </c>
      <c r="J82" s="45">
        <v>28300</v>
      </c>
      <c r="K82" s="35">
        <v>162</v>
      </c>
      <c r="L82" s="36">
        <v>30</v>
      </c>
    </row>
    <row r="83" spans="6:12" x14ac:dyDescent="0.3">
      <c r="F83" s="43" t="s">
        <v>139</v>
      </c>
      <c r="G83" s="41" t="s">
        <v>62</v>
      </c>
      <c r="H83" s="41" t="s">
        <v>174</v>
      </c>
      <c r="I83" s="44" t="s">
        <v>16</v>
      </c>
      <c r="J83" s="45">
        <v>32200</v>
      </c>
      <c r="K83" s="35">
        <v>273</v>
      </c>
      <c r="L83" s="36">
        <v>10</v>
      </c>
    </row>
    <row r="84" spans="6:12" x14ac:dyDescent="0.3">
      <c r="F84" s="43" t="s">
        <v>140</v>
      </c>
      <c r="G84" s="41" t="s">
        <v>168</v>
      </c>
      <c r="H84" s="41" t="s">
        <v>8</v>
      </c>
      <c r="I84" s="44" t="s">
        <v>13</v>
      </c>
      <c r="J84" s="45">
        <v>10300</v>
      </c>
      <c r="K84" s="35">
        <v>134</v>
      </c>
      <c r="L84" s="36">
        <v>20</v>
      </c>
    </row>
    <row r="85" spans="6:12" x14ac:dyDescent="0.3">
      <c r="F85" s="43" t="s">
        <v>141</v>
      </c>
      <c r="G85" s="41" t="s">
        <v>47</v>
      </c>
      <c r="H85" s="41" t="s">
        <v>11</v>
      </c>
      <c r="I85" s="44" t="s">
        <v>18</v>
      </c>
      <c r="J85" s="45">
        <v>116300</v>
      </c>
      <c r="K85" s="35">
        <v>30</v>
      </c>
      <c r="L85" s="36">
        <v>30</v>
      </c>
    </row>
    <row r="86" spans="6:12" x14ac:dyDescent="0.3">
      <c r="F86" s="43" t="s">
        <v>142</v>
      </c>
      <c r="G86" s="41" t="s">
        <v>170</v>
      </c>
      <c r="H86" s="41" t="s">
        <v>11</v>
      </c>
      <c r="I86" s="44" t="s">
        <v>12</v>
      </c>
      <c r="J86" s="45">
        <v>68300</v>
      </c>
      <c r="K86" s="35">
        <v>262</v>
      </c>
      <c r="L86" s="36">
        <v>30</v>
      </c>
    </row>
    <row r="87" spans="6:12" x14ac:dyDescent="0.3">
      <c r="F87" s="43" t="s">
        <v>143</v>
      </c>
      <c r="G87" s="41" t="s">
        <v>166</v>
      </c>
      <c r="H87" s="41" t="s">
        <v>11</v>
      </c>
      <c r="I87" s="44" t="s">
        <v>13</v>
      </c>
      <c r="J87" s="45">
        <v>68000</v>
      </c>
      <c r="K87" s="35">
        <v>68</v>
      </c>
      <c r="L87" s="36">
        <v>10</v>
      </c>
    </row>
    <row r="88" spans="6:12" x14ac:dyDescent="0.3">
      <c r="F88" s="43" t="s">
        <v>144</v>
      </c>
      <c r="G88" s="41" t="s">
        <v>53</v>
      </c>
      <c r="H88" s="41" t="s">
        <v>8</v>
      </c>
      <c r="I88" s="44" t="s">
        <v>16</v>
      </c>
      <c r="J88" s="45">
        <v>99100</v>
      </c>
      <c r="K88" s="35">
        <v>56</v>
      </c>
      <c r="L88" s="36">
        <v>30</v>
      </c>
    </row>
    <row r="89" spans="6:12" x14ac:dyDescent="0.3">
      <c r="F89" s="43" t="s">
        <v>145</v>
      </c>
      <c r="G89" s="41" t="s">
        <v>171</v>
      </c>
      <c r="H89" s="41" t="s">
        <v>174</v>
      </c>
      <c r="I89" s="44" t="s">
        <v>16</v>
      </c>
      <c r="J89" s="45">
        <v>5400</v>
      </c>
      <c r="K89" s="35">
        <v>261</v>
      </c>
      <c r="L89" s="36">
        <v>30</v>
      </c>
    </row>
    <row r="90" spans="6:12" x14ac:dyDescent="0.3">
      <c r="F90" s="43" t="s">
        <v>33</v>
      </c>
      <c r="G90" s="41" t="s">
        <v>51</v>
      </c>
      <c r="H90" s="41" t="s">
        <v>7</v>
      </c>
      <c r="I90" s="44" t="s">
        <v>17</v>
      </c>
      <c r="J90" s="45">
        <v>101700</v>
      </c>
      <c r="K90" s="35">
        <v>297</v>
      </c>
      <c r="L90" s="36">
        <v>10</v>
      </c>
    </row>
    <row r="91" spans="6:12" x14ac:dyDescent="0.3">
      <c r="F91" s="43" t="s">
        <v>34</v>
      </c>
      <c r="G91" s="41" t="s">
        <v>172</v>
      </c>
      <c r="H91" s="41" t="s">
        <v>10</v>
      </c>
      <c r="I91" s="44" t="s">
        <v>16</v>
      </c>
      <c r="J91" s="45">
        <v>193000</v>
      </c>
      <c r="K91" s="35">
        <v>71</v>
      </c>
      <c r="L91" s="36">
        <v>20</v>
      </c>
    </row>
    <row r="92" spans="6:12" x14ac:dyDescent="0.3">
      <c r="F92" s="43" t="s">
        <v>146</v>
      </c>
      <c r="G92" s="41" t="s">
        <v>62</v>
      </c>
      <c r="H92" s="41" t="s">
        <v>174</v>
      </c>
      <c r="I92" s="44" t="s">
        <v>16</v>
      </c>
      <c r="J92" s="45">
        <v>124100</v>
      </c>
      <c r="K92" s="35">
        <v>183</v>
      </c>
      <c r="L92" s="36">
        <v>20</v>
      </c>
    </row>
    <row r="93" spans="6:12" x14ac:dyDescent="0.3">
      <c r="F93" s="43" t="s">
        <v>147</v>
      </c>
      <c r="G93" s="41" t="s">
        <v>52</v>
      </c>
      <c r="H93" s="41" t="s">
        <v>9</v>
      </c>
      <c r="I93" s="44" t="s">
        <v>14</v>
      </c>
      <c r="J93" s="45">
        <v>178000</v>
      </c>
      <c r="K93" s="35">
        <v>146</v>
      </c>
      <c r="L93" s="36">
        <v>10</v>
      </c>
    </row>
    <row r="94" spans="6:12" x14ac:dyDescent="0.3">
      <c r="F94" s="43" t="s">
        <v>148</v>
      </c>
      <c r="G94" s="41" t="s">
        <v>73</v>
      </c>
      <c r="H94" s="41" t="s">
        <v>174</v>
      </c>
      <c r="I94" s="44" t="s">
        <v>13</v>
      </c>
      <c r="J94" s="45">
        <v>179300</v>
      </c>
      <c r="K94" s="35">
        <v>190</v>
      </c>
      <c r="L94" s="36">
        <v>10</v>
      </c>
    </row>
    <row r="95" spans="6:12" x14ac:dyDescent="0.3">
      <c r="F95" s="43" t="s">
        <v>35</v>
      </c>
      <c r="G95" s="41" t="s">
        <v>55</v>
      </c>
      <c r="H95" s="41" t="s">
        <v>7</v>
      </c>
      <c r="I95" s="44" t="s">
        <v>15</v>
      </c>
      <c r="J95" s="45">
        <v>34400</v>
      </c>
      <c r="K95" s="35">
        <v>273</v>
      </c>
      <c r="L95" s="36">
        <v>20</v>
      </c>
    </row>
    <row r="96" spans="6:12" x14ac:dyDescent="0.3">
      <c r="F96" s="43" t="s">
        <v>149</v>
      </c>
      <c r="G96" s="41" t="s">
        <v>173</v>
      </c>
      <c r="H96" s="41" t="s">
        <v>8</v>
      </c>
      <c r="I96" s="44" t="s">
        <v>13</v>
      </c>
      <c r="J96" s="45">
        <v>126200</v>
      </c>
      <c r="K96" s="35">
        <v>176</v>
      </c>
      <c r="L96" s="36">
        <v>20</v>
      </c>
    </row>
    <row r="97" spans="6:12" x14ac:dyDescent="0.3">
      <c r="F97" s="43" t="s">
        <v>150</v>
      </c>
      <c r="G97" s="41" t="s">
        <v>36</v>
      </c>
      <c r="H97" s="41" t="s">
        <v>7</v>
      </c>
      <c r="I97" s="44" t="s">
        <v>15</v>
      </c>
      <c r="J97" s="45">
        <v>9300</v>
      </c>
      <c r="K97" s="35">
        <v>41</v>
      </c>
      <c r="L97" s="36">
        <v>20</v>
      </c>
    </row>
    <row r="98" spans="6:12" x14ac:dyDescent="0.3">
      <c r="F98" s="43" t="s">
        <v>151</v>
      </c>
      <c r="G98" s="41" t="s">
        <v>75</v>
      </c>
      <c r="H98" s="41" t="s">
        <v>8</v>
      </c>
      <c r="I98" s="44" t="s">
        <v>13</v>
      </c>
      <c r="J98" s="45">
        <v>104200</v>
      </c>
      <c r="K98" s="35">
        <v>22</v>
      </c>
      <c r="L98" s="36">
        <v>30</v>
      </c>
    </row>
    <row r="99" spans="6:12" x14ac:dyDescent="0.3">
      <c r="F99" s="43" t="s">
        <v>152</v>
      </c>
      <c r="G99" s="41" t="s">
        <v>50</v>
      </c>
      <c r="H99" s="41" t="s">
        <v>8</v>
      </c>
      <c r="I99" s="44" t="s">
        <v>13</v>
      </c>
      <c r="J99" s="45">
        <v>71300</v>
      </c>
      <c r="K99" s="35">
        <v>117</v>
      </c>
      <c r="L99" s="36">
        <v>20</v>
      </c>
    </row>
    <row r="100" spans="6:12" x14ac:dyDescent="0.3">
      <c r="F100" s="43" t="s">
        <v>153</v>
      </c>
      <c r="G100" s="41" t="s">
        <v>38</v>
      </c>
      <c r="H100" s="41" t="s">
        <v>10</v>
      </c>
      <c r="I100" s="44" t="s">
        <v>16</v>
      </c>
      <c r="J100" s="45">
        <v>196000</v>
      </c>
      <c r="K100" s="35">
        <v>238</v>
      </c>
      <c r="L100" s="36">
        <v>20</v>
      </c>
    </row>
    <row r="101" spans="6:12" x14ac:dyDescent="0.3">
      <c r="F101" s="43" t="s">
        <v>154</v>
      </c>
      <c r="G101" s="41" t="s">
        <v>77</v>
      </c>
      <c r="H101" s="41" t="s">
        <v>11</v>
      </c>
      <c r="I101" s="44" t="s">
        <v>13</v>
      </c>
      <c r="J101" s="45">
        <v>9800</v>
      </c>
      <c r="K101" s="35">
        <v>250</v>
      </c>
      <c r="L101" s="36">
        <v>20</v>
      </c>
    </row>
    <row r="102" spans="6:12" x14ac:dyDescent="0.3">
      <c r="F102" s="43" t="s">
        <v>155</v>
      </c>
      <c r="G102" s="41" t="s">
        <v>70</v>
      </c>
      <c r="H102" s="41" t="s">
        <v>7</v>
      </c>
      <c r="I102" s="44" t="s">
        <v>12</v>
      </c>
      <c r="J102" s="45">
        <v>140400</v>
      </c>
      <c r="K102" s="35">
        <v>173</v>
      </c>
      <c r="L102" s="36">
        <v>10</v>
      </c>
    </row>
    <row r="103" spans="6:12" x14ac:dyDescent="0.3">
      <c r="F103" s="43" t="s">
        <v>156</v>
      </c>
      <c r="G103" s="41" t="s">
        <v>36</v>
      </c>
      <c r="H103" s="41" t="s">
        <v>7</v>
      </c>
      <c r="I103" s="44" t="s">
        <v>17</v>
      </c>
      <c r="J103" s="45">
        <v>196300</v>
      </c>
      <c r="K103" s="35">
        <v>286</v>
      </c>
      <c r="L103" s="36">
        <v>10</v>
      </c>
    </row>
    <row r="104" spans="6:12" x14ac:dyDescent="0.3">
      <c r="F104" s="43" t="s">
        <v>157</v>
      </c>
      <c r="G104" s="41" t="s">
        <v>49</v>
      </c>
      <c r="H104" s="41" t="s">
        <v>9</v>
      </c>
      <c r="I104" s="44" t="s">
        <v>14</v>
      </c>
      <c r="J104" s="45">
        <v>168300</v>
      </c>
      <c r="K104" s="35">
        <v>181</v>
      </c>
      <c r="L104" s="36">
        <v>30</v>
      </c>
    </row>
    <row r="105" spans="6:12" x14ac:dyDescent="0.3">
      <c r="F105" s="43" t="s">
        <v>158</v>
      </c>
      <c r="G105" s="41" t="s">
        <v>55</v>
      </c>
      <c r="H105" s="41" t="s">
        <v>7</v>
      </c>
      <c r="I105" s="44" t="s">
        <v>17</v>
      </c>
      <c r="J105" s="45">
        <v>187200</v>
      </c>
      <c r="K105" s="35">
        <v>277</v>
      </c>
      <c r="L105" s="36">
        <v>20</v>
      </c>
    </row>
    <row r="106" spans="6:12" x14ac:dyDescent="0.3">
      <c r="F106" s="43" t="s">
        <v>159</v>
      </c>
      <c r="G106" s="41" t="s">
        <v>169</v>
      </c>
      <c r="H106" s="41" t="s">
        <v>174</v>
      </c>
      <c r="I106" s="44" t="s">
        <v>16</v>
      </c>
      <c r="J106" s="45">
        <v>60000</v>
      </c>
      <c r="K106" s="35">
        <v>158</v>
      </c>
      <c r="L106" s="36">
        <v>20</v>
      </c>
    </row>
    <row r="107" spans="6:12" x14ac:dyDescent="0.3">
      <c r="F107" s="43" t="s">
        <v>160</v>
      </c>
      <c r="G107" s="41" t="s">
        <v>39</v>
      </c>
      <c r="H107" s="41" t="s">
        <v>7</v>
      </c>
      <c r="I107" s="44" t="s">
        <v>15</v>
      </c>
      <c r="J107" s="45">
        <v>83100</v>
      </c>
      <c r="K107" s="35">
        <v>30</v>
      </c>
      <c r="L107" s="36">
        <v>30</v>
      </c>
    </row>
    <row r="108" spans="6:12" x14ac:dyDescent="0.3">
      <c r="F108" s="43" t="s">
        <v>161</v>
      </c>
      <c r="G108" s="41" t="s">
        <v>49</v>
      </c>
      <c r="H108" s="41" t="s">
        <v>9</v>
      </c>
      <c r="I108" s="44" t="s">
        <v>14</v>
      </c>
      <c r="J108" s="45">
        <v>80800</v>
      </c>
      <c r="K108" s="35">
        <v>64</v>
      </c>
      <c r="L108" s="36">
        <v>20</v>
      </c>
    </row>
    <row r="109" spans="6:12" x14ac:dyDescent="0.3">
      <c r="F109" s="43" t="s">
        <v>162</v>
      </c>
      <c r="G109" s="41" t="s">
        <v>56</v>
      </c>
      <c r="H109" s="41" t="s">
        <v>174</v>
      </c>
      <c r="I109" s="44" t="s">
        <v>13</v>
      </c>
      <c r="J109" s="45">
        <v>98100</v>
      </c>
      <c r="K109" s="35">
        <v>85</v>
      </c>
      <c r="L109" s="36">
        <v>20</v>
      </c>
    </row>
    <row r="110" spans="6:12" x14ac:dyDescent="0.3">
      <c r="F110" s="43" t="s">
        <v>163</v>
      </c>
      <c r="G110" s="41" t="s">
        <v>169</v>
      </c>
      <c r="H110" s="41" t="s">
        <v>174</v>
      </c>
      <c r="I110" s="44" t="s">
        <v>13</v>
      </c>
      <c r="J110" s="45">
        <v>180700</v>
      </c>
      <c r="K110" s="35">
        <v>142</v>
      </c>
      <c r="L110" s="36">
        <v>30</v>
      </c>
    </row>
    <row r="111" spans="6:12" x14ac:dyDescent="0.3">
      <c r="F111" s="43" t="s">
        <v>164</v>
      </c>
      <c r="G111" s="41" t="s">
        <v>64</v>
      </c>
      <c r="H111" s="41" t="s">
        <v>10</v>
      </c>
      <c r="I111" s="44" t="s">
        <v>17</v>
      </c>
      <c r="J111" s="45">
        <v>174200</v>
      </c>
      <c r="K111" s="35">
        <v>162</v>
      </c>
      <c r="L111" s="36">
        <v>30</v>
      </c>
    </row>
    <row r="112" spans="6:12" x14ac:dyDescent="0.3">
      <c r="F112" s="43" t="s">
        <v>189</v>
      </c>
      <c r="G112" s="41" t="s">
        <v>190</v>
      </c>
      <c r="H112" s="41" t="s">
        <v>7</v>
      </c>
      <c r="I112" s="44" t="s">
        <v>15</v>
      </c>
      <c r="J112" s="45">
        <v>179000</v>
      </c>
      <c r="K112" s="35">
        <v>0</v>
      </c>
      <c r="L112" s="36">
        <v>20</v>
      </c>
    </row>
    <row r="113" spans="6:12" x14ac:dyDescent="0.3">
      <c r="F113" s="43" t="s">
        <v>191</v>
      </c>
      <c r="G113" s="41" t="s">
        <v>192</v>
      </c>
      <c r="H113" s="41" t="s">
        <v>9</v>
      </c>
      <c r="I113" s="44" t="s">
        <v>12</v>
      </c>
      <c r="J113" s="45">
        <v>5000</v>
      </c>
      <c r="K113" s="35">
        <v>321</v>
      </c>
      <c r="L113" s="36">
        <v>20</v>
      </c>
    </row>
    <row r="114" spans="6:12" x14ac:dyDescent="0.3">
      <c r="F114" s="43" t="s">
        <v>193</v>
      </c>
      <c r="G114" s="41" t="s">
        <v>194</v>
      </c>
      <c r="H114" s="41" t="s">
        <v>7</v>
      </c>
      <c r="I114" s="44" t="s">
        <v>12</v>
      </c>
      <c r="J114" s="45">
        <v>100000</v>
      </c>
      <c r="K114" s="35">
        <v>50</v>
      </c>
      <c r="L114" s="36">
        <v>5</v>
      </c>
    </row>
    <row r="115" spans="6:12" x14ac:dyDescent="0.3">
      <c r="F115" s="48" t="s">
        <v>200</v>
      </c>
      <c r="G115" s="46" t="s">
        <v>201</v>
      </c>
      <c r="H115" s="46" t="s">
        <v>9</v>
      </c>
      <c r="I115" s="31" t="s">
        <v>12</v>
      </c>
      <c r="J115" s="49">
        <v>55000</v>
      </c>
      <c r="K115" s="50">
        <v>50</v>
      </c>
      <c r="L115" s="51">
        <v>15</v>
      </c>
    </row>
    <row r="116" spans="6:12" x14ac:dyDescent="0.3">
      <c r="F116" s="43" t="s">
        <v>215</v>
      </c>
      <c r="G116" s="41" t="s">
        <v>216</v>
      </c>
      <c r="H116" s="41" t="s">
        <v>7</v>
      </c>
      <c r="I116" s="44" t="s">
        <v>15</v>
      </c>
      <c r="J116" s="45">
        <v>87000</v>
      </c>
      <c r="K116" s="35">
        <v>40</v>
      </c>
      <c r="L116" s="36">
        <v>20</v>
      </c>
    </row>
    <row r="117" spans="6:12" x14ac:dyDescent="0.3">
      <c r="F117" s="48"/>
      <c r="G117" s="46"/>
      <c r="H117" s="46"/>
      <c r="I117" s="31"/>
      <c r="J117" s="49"/>
      <c r="K117" s="50"/>
      <c r="L117" s="51"/>
    </row>
    <row r="118" spans="6:12" x14ac:dyDescent="0.3">
      <c r="F118" s="22"/>
      <c r="G118" s="23"/>
      <c r="J118" s="52"/>
      <c r="K118" s="32"/>
      <c r="L118" s="32"/>
    </row>
    <row r="119" spans="6:12" x14ac:dyDescent="0.3">
      <c r="F119" s="22"/>
      <c r="G119" s="23"/>
      <c r="J119" s="52"/>
      <c r="K119" s="32"/>
      <c r="L119" s="32"/>
    </row>
    <row r="120" spans="6:12" x14ac:dyDescent="0.3">
      <c r="F120" s="22"/>
      <c r="G120" s="23"/>
      <c r="J120" s="52"/>
      <c r="K120" s="32"/>
      <c r="L120" s="32"/>
    </row>
    <row r="121" spans="6:12" x14ac:dyDescent="0.3">
      <c r="F121" s="22"/>
      <c r="G121" s="23"/>
      <c r="J121" s="52"/>
      <c r="K121" s="32"/>
      <c r="L121" s="32"/>
    </row>
    <row r="122" spans="6:12" x14ac:dyDescent="0.3">
      <c r="F122" s="22"/>
      <c r="G122" s="23"/>
      <c r="J122" s="52"/>
      <c r="K122" s="32"/>
      <c r="L122" s="32"/>
    </row>
    <row r="123" spans="6:12" x14ac:dyDescent="0.3">
      <c r="F123" s="22"/>
      <c r="G123" s="23"/>
      <c r="J123" s="52"/>
      <c r="K123" s="32"/>
      <c r="L123" s="32"/>
    </row>
    <row r="124" spans="6:12" x14ac:dyDescent="0.3">
      <c r="F124" s="22"/>
      <c r="G124" s="23"/>
      <c r="J124" s="52"/>
      <c r="K124" s="32"/>
      <c r="L124" s="32"/>
    </row>
    <row r="125" spans="6:12" x14ac:dyDescent="0.3">
      <c r="F125" s="22"/>
      <c r="G125" s="23"/>
      <c r="J125" s="52"/>
      <c r="K125" s="32"/>
      <c r="L125" s="32"/>
    </row>
    <row r="126" spans="6:12" x14ac:dyDescent="0.3">
      <c r="F126" s="22"/>
      <c r="G126" s="23"/>
      <c r="J126" s="52"/>
      <c r="K126" s="32"/>
      <c r="L126" s="32"/>
    </row>
    <row r="127" spans="6:12" x14ac:dyDescent="0.3">
      <c r="F127" s="22"/>
      <c r="G127" s="23"/>
      <c r="J127" s="52"/>
      <c r="K127" s="32"/>
      <c r="L127" s="32"/>
    </row>
    <row r="128" spans="6:12" x14ac:dyDescent="0.3">
      <c r="F128" s="22"/>
      <c r="G128" s="23"/>
      <c r="J128" s="52"/>
      <c r="K128" s="32"/>
      <c r="L128" s="32"/>
    </row>
    <row r="129" spans="6:12" x14ac:dyDescent="0.3">
      <c r="F129" s="22"/>
      <c r="G129" s="23"/>
      <c r="J129" s="52"/>
      <c r="K129" s="32"/>
      <c r="L129" s="32"/>
    </row>
    <row r="130" spans="6:12" x14ac:dyDescent="0.3">
      <c r="F130" s="22"/>
      <c r="G130" s="23"/>
      <c r="J130" s="52"/>
      <c r="K130" s="32"/>
      <c r="L130" s="32"/>
    </row>
    <row r="131" spans="6:12" x14ac:dyDescent="0.3">
      <c r="F131" s="22"/>
      <c r="G131" s="23"/>
      <c r="J131" s="52"/>
      <c r="K131" s="32"/>
      <c r="L131" s="32"/>
    </row>
    <row r="132" spans="6:12" x14ac:dyDescent="0.3">
      <c r="F132" s="22"/>
      <c r="G132" s="23"/>
      <c r="J132" s="52"/>
      <c r="K132" s="32"/>
      <c r="L132" s="32"/>
    </row>
    <row r="133" spans="6:12" x14ac:dyDescent="0.3">
      <c r="F133" s="22"/>
      <c r="G133" s="23"/>
      <c r="J133" s="52"/>
      <c r="K133" s="32"/>
      <c r="L133" s="32"/>
    </row>
    <row r="134" spans="6:12" x14ac:dyDescent="0.3">
      <c r="F134" s="22"/>
      <c r="G134" s="23"/>
      <c r="J134" s="52"/>
      <c r="K134" s="32"/>
      <c r="L134" s="32"/>
    </row>
    <row r="135" spans="6:12" x14ac:dyDescent="0.3">
      <c r="F135" s="22"/>
      <c r="G135" s="23"/>
      <c r="J135" s="52"/>
      <c r="K135" s="32"/>
      <c r="L135" s="32"/>
    </row>
    <row r="136" spans="6:12" x14ac:dyDescent="0.3">
      <c r="F136" s="22"/>
      <c r="G136" s="23"/>
      <c r="J136" s="52"/>
      <c r="K136" s="32"/>
      <c r="L136" s="32"/>
    </row>
    <row r="137" spans="6:12" x14ac:dyDescent="0.3">
      <c r="F137" s="22"/>
      <c r="G137" s="23"/>
      <c r="J137" s="52"/>
      <c r="K137" s="32"/>
      <c r="L137" s="32"/>
    </row>
    <row r="138" spans="6:12" x14ac:dyDescent="0.3">
      <c r="F138" s="22"/>
      <c r="G138" s="23"/>
      <c r="J138" s="52"/>
      <c r="K138" s="32"/>
      <c r="L138" s="32"/>
    </row>
    <row r="139" spans="6:12" x14ac:dyDescent="0.3">
      <c r="F139" s="22"/>
      <c r="G139" s="23"/>
      <c r="J139" s="52"/>
      <c r="K139" s="32"/>
      <c r="L139" s="32"/>
    </row>
    <row r="140" spans="6:12" x14ac:dyDescent="0.3">
      <c r="F140" s="22"/>
      <c r="G140" s="23"/>
      <c r="J140" s="52"/>
      <c r="K140" s="32"/>
      <c r="L140" s="32"/>
    </row>
    <row r="141" spans="6:12" x14ac:dyDescent="0.3">
      <c r="F141" s="22"/>
      <c r="G141" s="23"/>
      <c r="J141" s="52"/>
      <c r="K141" s="32"/>
      <c r="L141" s="32"/>
    </row>
    <row r="142" spans="6:12" x14ac:dyDescent="0.3">
      <c r="F142" s="22"/>
      <c r="G142" s="23"/>
      <c r="J142" s="52"/>
      <c r="K142" s="32"/>
      <c r="L142" s="32"/>
    </row>
    <row r="143" spans="6:12" x14ac:dyDescent="0.3">
      <c r="F143" s="22"/>
      <c r="G143" s="23"/>
      <c r="J143" s="52"/>
      <c r="K143" s="32"/>
      <c r="L143" s="32"/>
    </row>
    <row r="144" spans="6:12" x14ac:dyDescent="0.3">
      <c r="F144" s="22"/>
      <c r="G144" s="23"/>
      <c r="J144" s="52"/>
      <c r="K144" s="32"/>
      <c r="L144" s="32"/>
    </row>
    <row r="145" spans="6:12" x14ac:dyDescent="0.3">
      <c r="F145" s="22"/>
      <c r="G145" s="23"/>
      <c r="J145" s="52"/>
      <c r="K145" s="32"/>
      <c r="L145" s="32"/>
    </row>
    <row r="146" spans="6:12" x14ac:dyDescent="0.3">
      <c r="F146" s="22"/>
      <c r="G146" s="23"/>
      <c r="J146" s="52"/>
      <c r="K146" s="32"/>
      <c r="L146" s="32"/>
    </row>
    <row r="147" spans="6:12" x14ac:dyDescent="0.3">
      <c r="F147" s="22"/>
      <c r="G147" s="23"/>
      <c r="J147" s="52"/>
      <c r="K147" s="32"/>
      <c r="L147" s="32"/>
    </row>
    <row r="148" spans="6:12" x14ac:dyDescent="0.3">
      <c r="F148" s="22"/>
      <c r="G148" s="23"/>
      <c r="J148" s="52"/>
      <c r="K148" s="32"/>
      <c r="L148" s="32"/>
    </row>
    <row r="149" spans="6:12" x14ac:dyDescent="0.3">
      <c r="F149" s="22"/>
      <c r="G149" s="23"/>
      <c r="J149" s="52"/>
      <c r="K149" s="32"/>
      <c r="L149" s="32"/>
    </row>
    <row r="150" spans="6:12" x14ac:dyDescent="0.3">
      <c r="F150" s="22"/>
      <c r="G150" s="23"/>
      <c r="J150" s="52"/>
      <c r="K150" s="32"/>
      <c r="L150" s="32"/>
    </row>
    <row r="151" spans="6:12" x14ac:dyDescent="0.3">
      <c r="F151" s="22"/>
      <c r="G151" s="23"/>
      <c r="J151" s="52"/>
      <c r="K151" s="32"/>
      <c r="L151" s="32"/>
    </row>
    <row r="152" spans="6:12" x14ac:dyDescent="0.3">
      <c r="F152" s="22"/>
      <c r="G152" s="23"/>
      <c r="J152" s="52"/>
      <c r="K152" s="32"/>
      <c r="L152" s="32"/>
    </row>
    <row r="153" spans="6:12" x14ac:dyDescent="0.3">
      <c r="F153" s="22"/>
      <c r="G153" s="23"/>
      <c r="J153" s="52"/>
      <c r="K153" s="32"/>
      <c r="L153" s="32"/>
    </row>
    <row r="154" spans="6:12" x14ac:dyDescent="0.3">
      <c r="F154" s="22"/>
      <c r="G154" s="23"/>
      <c r="J154" s="52"/>
      <c r="K154" s="32"/>
      <c r="L154" s="32"/>
    </row>
    <row r="155" spans="6:12" x14ac:dyDescent="0.3">
      <c r="F155" s="22"/>
      <c r="G155" s="23"/>
      <c r="J155" s="52"/>
      <c r="K155" s="32"/>
      <c r="L155" s="32"/>
    </row>
    <row r="156" spans="6:12" x14ac:dyDescent="0.3">
      <c r="F156" s="22"/>
      <c r="G156" s="23"/>
      <c r="J156" s="52"/>
      <c r="K156" s="32"/>
      <c r="L156" s="32"/>
    </row>
    <row r="157" spans="6:12" x14ac:dyDescent="0.3">
      <c r="F157" s="22"/>
      <c r="G157" s="23"/>
      <c r="J157" s="52"/>
      <c r="K157" s="32"/>
      <c r="L157" s="32"/>
    </row>
    <row r="158" spans="6:12" x14ac:dyDescent="0.3">
      <c r="F158" s="22"/>
      <c r="G158" s="23"/>
      <c r="J158" s="52"/>
      <c r="K158" s="32"/>
      <c r="L158" s="32"/>
    </row>
    <row r="159" spans="6:12" x14ac:dyDescent="0.3">
      <c r="F159" s="22"/>
      <c r="G159" s="23"/>
      <c r="J159" s="52"/>
      <c r="K159" s="32"/>
      <c r="L159" s="32"/>
    </row>
    <row r="160" spans="6:12" x14ac:dyDescent="0.3">
      <c r="F160" s="22"/>
      <c r="G160" s="23"/>
      <c r="J160" s="52"/>
      <c r="K160" s="32"/>
      <c r="L160" s="32"/>
    </row>
    <row r="161" spans="6:12" x14ac:dyDescent="0.3">
      <c r="F161" s="22"/>
      <c r="G161" s="23"/>
      <c r="J161" s="52"/>
      <c r="K161" s="32"/>
      <c r="L161" s="32"/>
    </row>
    <row r="162" spans="6:12" x14ac:dyDescent="0.3">
      <c r="F162" s="22"/>
      <c r="G162" s="23"/>
      <c r="J162" s="52"/>
      <c r="K162" s="32"/>
      <c r="L162" s="32"/>
    </row>
    <row r="163" spans="6:12" x14ac:dyDescent="0.3">
      <c r="F163" s="22"/>
      <c r="G163" s="23"/>
      <c r="J163" s="52"/>
      <c r="K163" s="32"/>
      <c r="L163" s="32"/>
    </row>
    <row r="164" spans="6:12" x14ac:dyDescent="0.3">
      <c r="F164" s="22"/>
      <c r="G164" s="23"/>
      <c r="J164" s="52"/>
      <c r="K164" s="32"/>
      <c r="L164" s="32"/>
    </row>
    <row r="165" spans="6:12" x14ac:dyDescent="0.3">
      <c r="F165" s="22"/>
      <c r="G165" s="23"/>
      <c r="J165" s="52"/>
      <c r="K165" s="32"/>
      <c r="L165" s="32"/>
    </row>
    <row r="166" spans="6:12" x14ac:dyDescent="0.3">
      <c r="F166" s="22"/>
      <c r="G166" s="23"/>
      <c r="J166" s="52"/>
      <c r="K166" s="32"/>
      <c r="L166" s="32"/>
    </row>
    <row r="167" spans="6:12" x14ac:dyDescent="0.3">
      <c r="F167" s="22"/>
      <c r="G167" s="23"/>
      <c r="J167" s="52"/>
      <c r="K167" s="32"/>
      <c r="L167" s="32"/>
    </row>
    <row r="168" spans="6:12" x14ac:dyDescent="0.3">
      <c r="F168" s="22"/>
      <c r="G168" s="23"/>
      <c r="J168" s="52"/>
      <c r="K168" s="32"/>
      <c r="L168" s="32"/>
    </row>
    <row r="169" spans="6:12" x14ac:dyDescent="0.3">
      <c r="F169" s="22"/>
      <c r="G169" s="23"/>
      <c r="J169" s="52"/>
      <c r="K169" s="32"/>
      <c r="L169" s="32"/>
    </row>
    <row r="170" spans="6:12" x14ac:dyDescent="0.3">
      <c r="F170" s="22"/>
      <c r="G170" s="23"/>
      <c r="J170" s="52"/>
      <c r="K170" s="32"/>
      <c r="L170" s="32"/>
    </row>
    <row r="171" spans="6:12" x14ac:dyDescent="0.3">
      <c r="F171" s="22"/>
      <c r="G171" s="23"/>
      <c r="J171" s="52"/>
      <c r="K171" s="32"/>
      <c r="L171" s="32"/>
    </row>
    <row r="172" spans="6:12" x14ac:dyDescent="0.3">
      <c r="F172" s="22"/>
      <c r="G172" s="23"/>
      <c r="J172" s="52"/>
      <c r="K172" s="32"/>
      <c r="L172" s="32"/>
    </row>
    <row r="173" spans="6:12" x14ac:dyDescent="0.3">
      <c r="F173" s="22"/>
      <c r="G173" s="23"/>
      <c r="J173" s="52"/>
      <c r="K173" s="32"/>
      <c r="L173" s="32"/>
    </row>
    <row r="174" spans="6:12" x14ac:dyDescent="0.3">
      <c r="F174" s="22"/>
      <c r="G174" s="23"/>
      <c r="J174" s="52"/>
      <c r="K174" s="32"/>
      <c r="L174" s="32"/>
    </row>
    <row r="175" spans="6:12" x14ac:dyDescent="0.3">
      <c r="F175" s="22"/>
      <c r="G175" s="23"/>
      <c r="J175" s="52"/>
      <c r="K175" s="32"/>
      <c r="L175" s="32"/>
    </row>
    <row r="176" spans="6:12" x14ac:dyDescent="0.3">
      <c r="F176" s="22"/>
      <c r="G176" s="23"/>
      <c r="J176" s="52"/>
      <c r="K176" s="32"/>
      <c r="L176" s="32"/>
    </row>
    <row r="177" spans="6:12" x14ac:dyDescent="0.3">
      <c r="F177" s="22"/>
      <c r="G177" s="23"/>
      <c r="J177" s="52"/>
      <c r="K177" s="32"/>
      <c r="L177" s="32"/>
    </row>
    <row r="178" spans="6:12" x14ac:dyDescent="0.3">
      <c r="F178" s="22"/>
      <c r="G178" s="23"/>
      <c r="J178" s="52"/>
      <c r="K178" s="32"/>
      <c r="L178" s="32"/>
    </row>
    <row r="179" spans="6:12" x14ac:dyDescent="0.3">
      <c r="F179" s="22"/>
      <c r="G179" s="23"/>
      <c r="J179" s="52"/>
      <c r="K179" s="32"/>
      <c r="L179" s="32"/>
    </row>
    <row r="180" spans="6:12" x14ac:dyDescent="0.3">
      <c r="F180" s="22"/>
      <c r="G180" s="23"/>
      <c r="J180" s="52"/>
      <c r="K180" s="32"/>
      <c r="L180" s="32"/>
    </row>
    <row r="181" spans="6:12" x14ac:dyDescent="0.3">
      <c r="F181" s="22"/>
      <c r="G181" s="23"/>
      <c r="J181" s="52"/>
      <c r="K181" s="32"/>
      <c r="L181" s="32"/>
    </row>
    <row r="182" spans="6:12" x14ac:dyDescent="0.3">
      <c r="F182" s="22"/>
      <c r="G182" s="23"/>
      <c r="J182" s="52"/>
      <c r="K182" s="32"/>
      <c r="L182" s="32"/>
    </row>
    <row r="183" spans="6:12" x14ac:dyDescent="0.3">
      <c r="F183" s="22"/>
      <c r="G183" s="23"/>
      <c r="J183" s="52"/>
      <c r="K183" s="32"/>
      <c r="L183" s="32"/>
    </row>
    <row r="184" spans="6:12" x14ac:dyDescent="0.3">
      <c r="F184" s="22"/>
      <c r="G184" s="23"/>
      <c r="J184" s="52"/>
      <c r="K184" s="32"/>
      <c r="L184" s="32"/>
    </row>
    <row r="185" spans="6:12" x14ac:dyDescent="0.3">
      <c r="F185" s="22"/>
      <c r="G185" s="23"/>
      <c r="J185" s="52"/>
      <c r="K185" s="32"/>
      <c r="L185" s="32"/>
    </row>
    <row r="186" spans="6:12" x14ac:dyDescent="0.3">
      <c r="F186" s="22"/>
      <c r="G186" s="23"/>
      <c r="J186" s="52"/>
      <c r="K186" s="32"/>
      <c r="L186" s="32"/>
    </row>
    <row r="187" spans="6:12" x14ac:dyDescent="0.3">
      <c r="F187" s="22"/>
      <c r="G187" s="23"/>
      <c r="J187" s="52"/>
      <c r="K187" s="32"/>
      <c r="L187" s="32"/>
    </row>
    <row r="188" spans="6:12" x14ac:dyDescent="0.3">
      <c r="F188" s="22"/>
      <c r="G188" s="23"/>
      <c r="J188" s="52"/>
      <c r="K188" s="32"/>
      <c r="L188" s="32"/>
    </row>
    <row r="189" spans="6:12" x14ac:dyDescent="0.3">
      <c r="F189" s="22"/>
      <c r="G189" s="23"/>
      <c r="J189" s="52"/>
      <c r="K189" s="32"/>
      <c r="L189" s="32"/>
    </row>
    <row r="190" spans="6:12" x14ac:dyDescent="0.3">
      <c r="F190" s="22"/>
      <c r="G190" s="23"/>
      <c r="J190" s="52"/>
      <c r="K190" s="32"/>
      <c r="L190" s="32"/>
    </row>
    <row r="191" spans="6:12" x14ac:dyDescent="0.3">
      <c r="F191" s="22"/>
      <c r="G191" s="23"/>
      <c r="J191" s="52"/>
      <c r="K191" s="32"/>
      <c r="L191" s="32"/>
    </row>
    <row r="192" spans="6:12" x14ac:dyDescent="0.3">
      <c r="F192" s="22"/>
      <c r="G192" s="23"/>
      <c r="J192" s="52"/>
      <c r="K192" s="32"/>
      <c r="L192" s="32"/>
    </row>
    <row r="193" spans="6:12" x14ac:dyDescent="0.3">
      <c r="F193" s="22"/>
      <c r="G193" s="23"/>
      <c r="J193" s="52"/>
      <c r="K193" s="32"/>
      <c r="L193" s="32"/>
    </row>
    <row r="194" spans="6:12" x14ac:dyDescent="0.3">
      <c r="F194" s="22"/>
      <c r="G194" s="23"/>
      <c r="J194" s="52"/>
      <c r="K194" s="32"/>
      <c r="L194" s="32"/>
    </row>
    <row r="195" spans="6:12" x14ac:dyDescent="0.3">
      <c r="F195" s="22"/>
      <c r="G195" s="23"/>
      <c r="J195" s="52"/>
      <c r="K195" s="32"/>
      <c r="L195" s="32"/>
    </row>
    <row r="196" spans="6:12" x14ac:dyDescent="0.3">
      <c r="F196" s="22"/>
      <c r="G196" s="23"/>
      <c r="J196" s="52"/>
      <c r="K196" s="32"/>
      <c r="L196" s="32"/>
    </row>
    <row r="197" spans="6:12" x14ac:dyDescent="0.3">
      <c r="F197" s="22"/>
      <c r="G197" s="23"/>
      <c r="J197" s="52"/>
      <c r="K197" s="32"/>
      <c r="L197" s="32"/>
    </row>
    <row r="198" spans="6:12" x14ac:dyDescent="0.3">
      <c r="F198" s="22"/>
      <c r="G198" s="23"/>
      <c r="J198" s="52"/>
      <c r="K198" s="32"/>
      <c r="L198" s="32"/>
    </row>
    <row r="199" spans="6:12" x14ac:dyDescent="0.3">
      <c r="F199" s="22"/>
      <c r="G199" s="23"/>
      <c r="J199" s="52"/>
      <c r="K199" s="32"/>
      <c r="L199" s="32"/>
    </row>
    <row r="200" spans="6:12" x14ac:dyDescent="0.3">
      <c r="F200" s="22"/>
      <c r="G200" s="23"/>
      <c r="J200" s="52"/>
      <c r="K200" s="32"/>
      <c r="L200" s="32"/>
    </row>
    <row r="201" spans="6:12" x14ac:dyDescent="0.3">
      <c r="F201" s="22"/>
      <c r="G201" s="23"/>
      <c r="J201" s="52"/>
      <c r="K201" s="32"/>
      <c r="L201" s="32"/>
    </row>
    <row r="202" spans="6:12" x14ac:dyDescent="0.3">
      <c r="F202" s="22"/>
      <c r="G202" s="23"/>
      <c r="J202" s="52"/>
      <c r="K202" s="32"/>
      <c r="L202" s="32"/>
    </row>
    <row r="203" spans="6:12" x14ac:dyDescent="0.3">
      <c r="F203" s="22"/>
      <c r="G203" s="23"/>
      <c r="J203" s="52"/>
      <c r="K203" s="32"/>
      <c r="L203" s="32"/>
    </row>
    <row r="204" spans="6:12" x14ac:dyDescent="0.3">
      <c r="F204" s="22"/>
      <c r="G204" s="23"/>
      <c r="J204" s="52"/>
      <c r="K204" s="32"/>
      <c r="L204" s="32"/>
    </row>
    <row r="205" spans="6:12" x14ac:dyDescent="0.3">
      <c r="F205" s="22"/>
      <c r="G205" s="23"/>
      <c r="J205" s="52"/>
      <c r="K205" s="32"/>
      <c r="L205" s="32"/>
    </row>
    <row r="206" spans="6:12" x14ac:dyDescent="0.3">
      <c r="F206" s="22"/>
      <c r="G206" s="23"/>
      <c r="J206" s="52"/>
      <c r="K206" s="32"/>
      <c r="L206" s="32"/>
    </row>
    <row r="207" spans="6:12" x14ac:dyDescent="0.3">
      <c r="F207" s="22"/>
      <c r="G207" s="23"/>
      <c r="J207" s="52"/>
      <c r="K207" s="32"/>
      <c r="L207" s="32"/>
    </row>
    <row r="208" spans="6:12" x14ac:dyDescent="0.3">
      <c r="F208" s="22"/>
      <c r="G208" s="23"/>
      <c r="J208" s="52"/>
      <c r="K208" s="32"/>
      <c r="L208" s="32"/>
    </row>
    <row r="209" spans="6:12" x14ac:dyDescent="0.3">
      <c r="F209" s="22"/>
      <c r="G209" s="23"/>
      <c r="J209" s="52"/>
      <c r="K209" s="32"/>
      <c r="L209" s="32"/>
    </row>
    <row r="210" spans="6:12" x14ac:dyDescent="0.3">
      <c r="F210" s="22"/>
      <c r="G210" s="23"/>
      <c r="J210" s="52"/>
      <c r="K210" s="32"/>
      <c r="L210" s="32"/>
    </row>
    <row r="211" spans="6:12" x14ac:dyDescent="0.3">
      <c r="F211" s="22"/>
      <c r="G211" s="23"/>
      <c r="J211" s="52"/>
      <c r="K211" s="32"/>
      <c r="L211" s="32"/>
    </row>
    <row r="212" spans="6:12" x14ac:dyDescent="0.3">
      <c r="F212" s="22"/>
      <c r="G212" s="23"/>
      <c r="J212" s="52"/>
      <c r="K212" s="32"/>
      <c r="L212" s="32"/>
    </row>
    <row r="213" spans="6:12" x14ac:dyDescent="0.3">
      <c r="F213" s="22"/>
      <c r="G213" s="23"/>
      <c r="J213" s="52"/>
      <c r="K213" s="32"/>
      <c r="L213" s="32"/>
    </row>
    <row r="214" spans="6:12" x14ac:dyDescent="0.3">
      <c r="F214" s="22"/>
      <c r="G214" s="23"/>
      <c r="J214" s="52"/>
      <c r="K214" s="32"/>
      <c r="L214" s="32"/>
    </row>
    <row r="215" spans="6:12" x14ac:dyDescent="0.3">
      <c r="F215" s="22"/>
      <c r="G215" s="23"/>
      <c r="J215" s="52"/>
      <c r="K215" s="32"/>
      <c r="L215" s="32"/>
    </row>
    <row r="216" spans="6:12" x14ac:dyDescent="0.3">
      <c r="F216" s="22"/>
      <c r="G216" s="23"/>
      <c r="J216" s="52"/>
      <c r="K216" s="32"/>
      <c r="L216" s="32"/>
    </row>
    <row r="217" spans="6:12" x14ac:dyDescent="0.3">
      <c r="F217" s="22"/>
      <c r="G217" s="23"/>
      <c r="J217" s="52"/>
      <c r="K217" s="32"/>
      <c r="L217" s="32"/>
    </row>
    <row r="218" spans="6:12" x14ac:dyDescent="0.3">
      <c r="F218" s="22"/>
      <c r="G218" s="23"/>
      <c r="J218" s="52"/>
      <c r="K218" s="22"/>
      <c r="L218" s="22"/>
    </row>
  </sheetData>
  <mergeCells count="1">
    <mergeCell ref="F2:L2"/>
  </mergeCells>
  <phoneticPr fontId="5" type="noConversion"/>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B0D7A-6F2A-424B-8DBF-78C882FF73BD}">
  <sheetPr codeName="Sheet5"/>
  <dimension ref="F1:P116"/>
  <sheetViews>
    <sheetView showGridLines="0" showRowColHeaders="0" zoomScaleNormal="100" workbookViewId="0"/>
  </sheetViews>
  <sheetFormatPr defaultRowHeight="14.4" x14ac:dyDescent="0.3"/>
  <cols>
    <col min="1" max="2" width="8.88671875" customWidth="1"/>
    <col min="3" max="3" width="6.6640625" bestFit="1" customWidth="1"/>
    <col min="4" max="4" width="16.21875" customWidth="1"/>
    <col min="5" max="5" width="8.33203125" customWidth="1"/>
    <col min="6" max="6" width="13.5546875" style="19" bestFit="1" customWidth="1"/>
    <col min="7" max="8" width="14.33203125" style="19" customWidth="1"/>
    <col min="9" max="9" width="13.77734375" style="20" bestFit="1" customWidth="1"/>
    <col min="10" max="10" width="13.109375" style="19" bestFit="1" customWidth="1"/>
    <col min="11" max="11" width="13.21875" style="19" customWidth="1"/>
    <col min="12" max="12" width="11.44140625" style="19" bestFit="1" customWidth="1"/>
    <col min="13" max="13" width="11.6640625" style="19" bestFit="1" customWidth="1"/>
    <col min="14" max="14" width="15.77734375" style="19" bestFit="1" customWidth="1"/>
    <col min="15" max="15" width="14.5546875" style="19" bestFit="1" customWidth="1"/>
    <col min="16" max="16" width="14.5546875" bestFit="1" customWidth="1"/>
    <col min="17" max="17" width="12.88671875" bestFit="1" customWidth="1"/>
    <col min="18" max="18" width="17.21875" bestFit="1" customWidth="1"/>
    <col min="19" max="28" width="14.5546875" bestFit="1" customWidth="1"/>
    <col min="29" max="29" width="10.77734375" bestFit="1" customWidth="1"/>
  </cols>
  <sheetData>
    <row r="1" spans="6:16" x14ac:dyDescent="0.3">
      <c r="F1"/>
      <c r="G1"/>
      <c r="H1"/>
      <c r="I1" s="9"/>
      <c r="J1"/>
      <c r="K1"/>
      <c r="L1"/>
      <c r="M1"/>
      <c r="N1"/>
      <c r="O1"/>
    </row>
    <row r="2" spans="6:16" x14ac:dyDescent="0.3">
      <c r="F2"/>
      <c r="G2"/>
      <c r="H2"/>
      <c r="I2" s="9"/>
      <c r="J2"/>
      <c r="K2"/>
      <c r="L2"/>
      <c r="M2"/>
      <c r="N2"/>
      <c r="O2"/>
    </row>
    <row r="3" spans="6:16" x14ac:dyDescent="0.3">
      <c r="F3"/>
      <c r="G3"/>
      <c r="H3" t="s">
        <v>195</v>
      </c>
      <c r="I3" s="9"/>
      <c r="J3"/>
      <c r="K3"/>
      <c r="L3"/>
      <c r="M3"/>
      <c r="N3"/>
      <c r="O3"/>
    </row>
    <row r="4" spans="6:16" x14ac:dyDescent="0.3">
      <c r="F4"/>
      <c r="G4"/>
      <c r="H4"/>
      <c r="I4" s="9"/>
      <c r="J4"/>
      <c r="K4"/>
      <c r="L4"/>
      <c r="M4"/>
      <c r="N4"/>
      <c r="O4"/>
    </row>
    <row r="5" spans="6:16" x14ac:dyDescent="0.3">
      <c r="F5"/>
      <c r="G5"/>
      <c r="H5"/>
      <c r="I5" s="9"/>
      <c r="J5"/>
      <c r="K5"/>
      <c r="L5"/>
      <c r="M5"/>
      <c r="N5"/>
      <c r="O5"/>
    </row>
    <row r="6" spans="6:16" x14ac:dyDescent="0.3">
      <c r="F6"/>
      <c r="G6"/>
      <c r="H6"/>
      <c r="I6" s="9"/>
      <c r="J6"/>
      <c r="K6"/>
      <c r="L6"/>
      <c r="M6"/>
      <c r="N6"/>
      <c r="O6"/>
    </row>
    <row r="7" spans="6:16" x14ac:dyDescent="0.3">
      <c r="F7"/>
      <c r="G7"/>
      <c r="H7"/>
      <c r="I7" s="9"/>
      <c r="J7"/>
      <c r="K7"/>
      <c r="L7"/>
      <c r="M7"/>
      <c r="N7"/>
      <c r="O7"/>
      <c r="P7" t="s">
        <v>198</v>
      </c>
    </row>
    <row r="8" spans="6:16" x14ac:dyDescent="0.3">
      <c r="F8"/>
      <c r="G8"/>
      <c r="H8" t="s">
        <v>175</v>
      </c>
      <c r="I8" s="9"/>
      <c r="J8"/>
      <c r="K8"/>
      <c r="L8"/>
      <c r="M8"/>
      <c r="N8"/>
      <c r="O8"/>
    </row>
    <row r="9" spans="6:16" x14ac:dyDescent="0.3">
      <c r="F9"/>
      <c r="G9"/>
      <c r="H9"/>
      <c r="I9" s="9"/>
      <c r="J9"/>
      <c r="K9"/>
      <c r="L9"/>
      <c r="M9"/>
      <c r="N9"/>
      <c r="O9"/>
    </row>
    <row r="10" spans="6:16" x14ac:dyDescent="0.3">
      <c r="F10"/>
      <c r="G10"/>
      <c r="H10"/>
      <c r="I10" s="9"/>
      <c r="J10"/>
      <c r="K10"/>
      <c r="L10"/>
      <c r="M10"/>
      <c r="N10"/>
      <c r="O10"/>
    </row>
    <row r="11" spans="6:16" ht="15.6" x14ac:dyDescent="0.3">
      <c r="F11" s="56" t="s">
        <v>0</v>
      </c>
      <c r="G11" s="56" t="s">
        <v>1</v>
      </c>
      <c r="H11" s="56" t="s">
        <v>2</v>
      </c>
      <c r="I11" s="57" t="s">
        <v>3</v>
      </c>
      <c r="J11" s="56" t="s">
        <v>177</v>
      </c>
      <c r="K11" s="56" t="s">
        <v>196</v>
      </c>
      <c r="L11" s="56" t="s">
        <v>4</v>
      </c>
      <c r="M11" s="56" t="s">
        <v>197</v>
      </c>
      <c r="N11" s="56" t="s">
        <v>5</v>
      </c>
      <c r="O11" s="56" t="s">
        <v>180</v>
      </c>
    </row>
    <row r="12" spans="6:16" x14ac:dyDescent="0.3">
      <c r="F12" s="7" t="e" cm="1">
        <f t="array" ref="F12:O116" ca="1">_xlfn._xlws.FILTER(TblGabungan[],ISNUMBER(SEARCH(H3,TblGabungan[Kode Barang]&amp;TblGabungan[Nama Barang])),"Data tidak ditemukan")</f>
        <v>#NAME?</v>
      </c>
      <c r="G12" s="7" t="e">
        <f ca="1"/>
        <v>#NAME?</v>
      </c>
      <c r="H12" s="7" t="e">
        <f ca="1"/>
        <v>#NAME?</v>
      </c>
      <c r="I12" s="18" t="e">
        <f ca="1"/>
        <v>#NAME?</v>
      </c>
      <c r="J12" s="7" t="e">
        <f ca="1"/>
        <v>#NAME?</v>
      </c>
      <c r="K12" s="7" t="e">
        <f ca="1"/>
        <v>#NAME?</v>
      </c>
      <c r="L12" s="7" t="e">
        <f ca="1"/>
        <v>#NAME?</v>
      </c>
      <c r="M12" s="7" t="e">
        <f ca="1"/>
        <v>#NAME?</v>
      </c>
      <c r="N12" s="7" t="e">
        <f ca="1"/>
        <v>#NAME?</v>
      </c>
      <c r="O12" s="7" t="e">
        <f ca="1"/>
        <v>#NAME?</v>
      </c>
    </row>
    <row r="13" spans="6:16" x14ac:dyDescent="0.3">
      <c r="F13" s="7" t="e">
        <f ca="1"/>
        <v>#NAME?</v>
      </c>
      <c r="G13" s="7" t="e">
        <f ca="1"/>
        <v>#NAME?</v>
      </c>
      <c r="H13" s="7" t="e">
        <f ca="1"/>
        <v>#NAME?</v>
      </c>
      <c r="I13" s="18" t="e">
        <f ca="1"/>
        <v>#NAME?</v>
      </c>
      <c r="J13" s="7" t="e">
        <f ca="1"/>
        <v>#NAME?</v>
      </c>
      <c r="K13" s="7" t="e">
        <f ca="1"/>
        <v>#NAME?</v>
      </c>
      <c r="L13" s="7" t="e">
        <f ca="1"/>
        <v>#NAME?</v>
      </c>
      <c r="M13" s="7" t="e">
        <f ca="1"/>
        <v>#NAME?</v>
      </c>
      <c r="N13" s="7" t="e">
        <f ca="1"/>
        <v>#NAME?</v>
      </c>
      <c r="O13" s="7" t="e">
        <f ca="1"/>
        <v>#NAME?</v>
      </c>
    </row>
    <row r="14" spans="6:16" x14ac:dyDescent="0.3">
      <c r="F14" s="7" t="e">
        <f ca="1"/>
        <v>#NAME?</v>
      </c>
      <c r="G14" s="7" t="e">
        <f ca="1"/>
        <v>#NAME?</v>
      </c>
      <c r="H14" s="7" t="e">
        <f ca="1"/>
        <v>#NAME?</v>
      </c>
      <c r="I14" s="18" t="e">
        <f ca="1"/>
        <v>#NAME?</v>
      </c>
      <c r="J14" s="7" t="e">
        <f ca="1"/>
        <v>#NAME?</v>
      </c>
      <c r="K14" s="7" t="e">
        <f ca="1"/>
        <v>#NAME?</v>
      </c>
      <c r="L14" s="7" t="e">
        <f ca="1"/>
        <v>#NAME?</v>
      </c>
      <c r="M14" s="7" t="e">
        <f ca="1"/>
        <v>#NAME?</v>
      </c>
      <c r="N14" s="7" t="e">
        <f ca="1"/>
        <v>#NAME?</v>
      </c>
      <c r="O14" s="7" t="e">
        <f ca="1"/>
        <v>#NAME?</v>
      </c>
    </row>
    <row r="15" spans="6:16" x14ac:dyDescent="0.3">
      <c r="F15" s="7" t="e">
        <f ca="1"/>
        <v>#NAME?</v>
      </c>
      <c r="G15" s="7" t="e">
        <f ca="1"/>
        <v>#NAME?</v>
      </c>
      <c r="H15" s="7" t="e">
        <f ca="1"/>
        <v>#NAME?</v>
      </c>
      <c r="I15" s="18" t="e">
        <f ca="1"/>
        <v>#NAME?</v>
      </c>
      <c r="J15" s="7" t="e">
        <f ca="1"/>
        <v>#NAME?</v>
      </c>
      <c r="K15" s="7" t="e">
        <f ca="1"/>
        <v>#NAME?</v>
      </c>
      <c r="L15" s="7" t="e">
        <f ca="1"/>
        <v>#NAME?</v>
      </c>
      <c r="M15" s="7" t="e">
        <f ca="1"/>
        <v>#NAME?</v>
      </c>
      <c r="N15" s="7" t="e">
        <f ca="1"/>
        <v>#NAME?</v>
      </c>
      <c r="O15" s="7" t="e">
        <f ca="1"/>
        <v>#NAME?</v>
      </c>
    </row>
    <row r="16" spans="6:16" x14ac:dyDescent="0.3">
      <c r="F16" s="7" t="e">
        <f ca="1"/>
        <v>#NAME?</v>
      </c>
      <c r="G16" s="7" t="e">
        <f ca="1"/>
        <v>#NAME?</v>
      </c>
      <c r="H16" s="7" t="e">
        <f ca="1"/>
        <v>#NAME?</v>
      </c>
      <c r="I16" s="18" t="e">
        <f ca="1"/>
        <v>#NAME?</v>
      </c>
      <c r="J16" s="7" t="e">
        <f ca="1"/>
        <v>#NAME?</v>
      </c>
      <c r="K16" s="7" t="e">
        <f ca="1"/>
        <v>#NAME?</v>
      </c>
      <c r="L16" s="7" t="e">
        <f ca="1"/>
        <v>#NAME?</v>
      </c>
      <c r="M16" s="7" t="e">
        <f ca="1"/>
        <v>#NAME?</v>
      </c>
      <c r="N16" s="7" t="e">
        <f ca="1"/>
        <v>#NAME?</v>
      </c>
      <c r="O16" s="7" t="e">
        <f ca="1"/>
        <v>#NAME?</v>
      </c>
    </row>
    <row r="17" spans="6:15" x14ac:dyDescent="0.3">
      <c r="F17" s="7" t="e">
        <f ca="1"/>
        <v>#NAME?</v>
      </c>
      <c r="G17" s="7" t="e">
        <f ca="1"/>
        <v>#NAME?</v>
      </c>
      <c r="H17" s="7" t="e">
        <f ca="1"/>
        <v>#NAME?</v>
      </c>
      <c r="I17" s="18" t="e">
        <f ca="1"/>
        <v>#NAME?</v>
      </c>
      <c r="J17" s="7" t="e">
        <f ca="1"/>
        <v>#NAME?</v>
      </c>
      <c r="K17" s="7" t="e">
        <f ca="1"/>
        <v>#NAME?</v>
      </c>
      <c r="L17" s="7" t="e">
        <f ca="1"/>
        <v>#NAME?</v>
      </c>
      <c r="M17" s="7" t="e">
        <f ca="1"/>
        <v>#NAME?</v>
      </c>
      <c r="N17" s="7" t="e">
        <f ca="1"/>
        <v>#NAME?</v>
      </c>
      <c r="O17" s="7" t="e">
        <f ca="1"/>
        <v>#NAME?</v>
      </c>
    </row>
    <row r="18" spans="6:15" x14ac:dyDescent="0.3">
      <c r="F18" s="7" t="e">
        <f ca="1"/>
        <v>#NAME?</v>
      </c>
      <c r="G18" s="7" t="e">
        <f ca="1"/>
        <v>#NAME?</v>
      </c>
      <c r="H18" s="7" t="e">
        <f ca="1"/>
        <v>#NAME?</v>
      </c>
      <c r="I18" s="18" t="e">
        <f ca="1"/>
        <v>#NAME?</v>
      </c>
      <c r="J18" s="7" t="e">
        <f ca="1"/>
        <v>#NAME?</v>
      </c>
      <c r="K18" s="7" t="e">
        <f ca="1"/>
        <v>#NAME?</v>
      </c>
      <c r="L18" s="7" t="e">
        <f ca="1"/>
        <v>#NAME?</v>
      </c>
      <c r="M18" s="7" t="e">
        <f ca="1"/>
        <v>#NAME?</v>
      </c>
      <c r="N18" s="7" t="e">
        <f ca="1"/>
        <v>#NAME?</v>
      </c>
      <c r="O18" s="7" t="e">
        <f ca="1"/>
        <v>#NAME?</v>
      </c>
    </row>
    <row r="19" spans="6:15" x14ac:dyDescent="0.3">
      <c r="F19" s="7" t="e">
        <f ca="1"/>
        <v>#NAME?</v>
      </c>
      <c r="G19" s="7" t="e">
        <f ca="1"/>
        <v>#NAME?</v>
      </c>
      <c r="H19" s="7" t="e">
        <f ca="1"/>
        <v>#NAME?</v>
      </c>
      <c r="I19" s="18" t="e">
        <f ca="1"/>
        <v>#NAME?</v>
      </c>
      <c r="J19" s="7" t="e">
        <f ca="1"/>
        <v>#NAME?</v>
      </c>
      <c r="K19" s="7" t="e">
        <f ca="1"/>
        <v>#NAME?</v>
      </c>
      <c r="L19" s="7" t="e">
        <f ca="1"/>
        <v>#NAME?</v>
      </c>
      <c r="M19" s="7" t="e">
        <f ca="1"/>
        <v>#NAME?</v>
      </c>
      <c r="N19" s="7" t="e">
        <f ca="1"/>
        <v>#NAME?</v>
      </c>
      <c r="O19" s="7" t="e">
        <f ca="1"/>
        <v>#NAME?</v>
      </c>
    </row>
    <row r="20" spans="6:15" x14ac:dyDescent="0.3">
      <c r="F20" s="7" t="e">
        <f ca="1"/>
        <v>#NAME?</v>
      </c>
      <c r="G20" s="7" t="e">
        <f ca="1"/>
        <v>#NAME?</v>
      </c>
      <c r="H20" s="7" t="e">
        <f ca="1"/>
        <v>#NAME?</v>
      </c>
      <c r="I20" s="18" t="e">
        <f ca="1"/>
        <v>#NAME?</v>
      </c>
      <c r="J20" s="7" t="e">
        <f ca="1"/>
        <v>#NAME?</v>
      </c>
      <c r="K20" s="7" t="e">
        <f ca="1"/>
        <v>#NAME?</v>
      </c>
      <c r="L20" s="7" t="e">
        <f ca="1"/>
        <v>#NAME?</v>
      </c>
      <c r="M20" s="7" t="e">
        <f ca="1"/>
        <v>#NAME?</v>
      </c>
      <c r="N20" s="7" t="e">
        <f ca="1"/>
        <v>#NAME?</v>
      </c>
      <c r="O20" s="7" t="e">
        <f ca="1"/>
        <v>#NAME?</v>
      </c>
    </row>
    <row r="21" spans="6:15" x14ac:dyDescent="0.3">
      <c r="F21" s="7" t="e">
        <f ca="1"/>
        <v>#NAME?</v>
      </c>
      <c r="G21" s="7" t="e">
        <f ca="1"/>
        <v>#NAME?</v>
      </c>
      <c r="H21" s="7" t="e">
        <f ca="1"/>
        <v>#NAME?</v>
      </c>
      <c r="I21" s="18" t="e">
        <f ca="1"/>
        <v>#NAME?</v>
      </c>
      <c r="J21" s="7" t="e">
        <f ca="1"/>
        <v>#NAME?</v>
      </c>
      <c r="K21" s="7" t="e">
        <f ca="1"/>
        <v>#NAME?</v>
      </c>
      <c r="L21" s="7" t="e">
        <f ca="1"/>
        <v>#NAME?</v>
      </c>
      <c r="M21" s="7" t="e">
        <f ca="1"/>
        <v>#NAME?</v>
      </c>
      <c r="N21" s="7" t="e">
        <f ca="1"/>
        <v>#NAME?</v>
      </c>
      <c r="O21" s="7" t="e">
        <f ca="1"/>
        <v>#NAME?</v>
      </c>
    </row>
    <row r="22" spans="6:15" x14ac:dyDescent="0.3">
      <c r="F22" s="7" t="e">
        <f ca="1"/>
        <v>#NAME?</v>
      </c>
      <c r="G22" s="7" t="e">
        <f ca="1"/>
        <v>#NAME?</v>
      </c>
      <c r="H22" s="7" t="e">
        <f ca="1"/>
        <v>#NAME?</v>
      </c>
      <c r="I22" s="18" t="e">
        <f ca="1"/>
        <v>#NAME?</v>
      </c>
      <c r="J22" s="7" t="e">
        <f ca="1"/>
        <v>#NAME?</v>
      </c>
      <c r="K22" s="7" t="e">
        <f ca="1"/>
        <v>#NAME?</v>
      </c>
      <c r="L22" s="7" t="e">
        <f ca="1"/>
        <v>#NAME?</v>
      </c>
      <c r="M22" s="7" t="e">
        <f ca="1"/>
        <v>#NAME?</v>
      </c>
      <c r="N22" s="7" t="e">
        <f ca="1"/>
        <v>#NAME?</v>
      </c>
      <c r="O22" s="7" t="e">
        <f ca="1"/>
        <v>#NAME?</v>
      </c>
    </row>
    <row r="23" spans="6:15" x14ac:dyDescent="0.3">
      <c r="F23" s="7" t="e">
        <f ca="1"/>
        <v>#NAME?</v>
      </c>
      <c r="G23" s="7" t="e">
        <f ca="1"/>
        <v>#NAME?</v>
      </c>
      <c r="H23" s="7" t="e">
        <f ca="1"/>
        <v>#NAME?</v>
      </c>
      <c r="I23" s="18" t="e">
        <f ca="1"/>
        <v>#NAME?</v>
      </c>
      <c r="J23" s="7" t="e">
        <f ca="1"/>
        <v>#NAME?</v>
      </c>
      <c r="K23" s="7" t="e">
        <f ca="1"/>
        <v>#NAME?</v>
      </c>
      <c r="L23" s="7" t="e">
        <f ca="1"/>
        <v>#NAME?</v>
      </c>
      <c r="M23" s="7" t="e">
        <f ca="1"/>
        <v>#NAME?</v>
      </c>
      <c r="N23" s="7" t="e">
        <f ca="1"/>
        <v>#NAME?</v>
      </c>
      <c r="O23" s="7" t="e">
        <f ca="1"/>
        <v>#NAME?</v>
      </c>
    </row>
    <row r="24" spans="6:15" x14ac:dyDescent="0.3">
      <c r="F24" s="7" t="e">
        <f ca="1"/>
        <v>#NAME?</v>
      </c>
      <c r="G24" s="7" t="e">
        <f ca="1"/>
        <v>#NAME?</v>
      </c>
      <c r="H24" s="7" t="e">
        <f ca="1"/>
        <v>#NAME?</v>
      </c>
      <c r="I24" s="18" t="e">
        <f ca="1"/>
        <v>#NAME?</v>
      </c>
      <c r="J24" s="7" t="e">
        <f ca="1"/>
        <v>#NAME?</v>
      </c>
      <c r="K24" s="7" t="e">
        <f ca="1"/>
        <v>#NAME?</v>
      </c>
      <c r="L24" s="7" t="e">
        <f ca="1"/>
        <v>#NAME?</v>
      </c>
      <c r="M24" s="7" t="e">
        <f ca="1"/>
        <v>#NAME?</v>
      </c>
      <c r="N24" s="7" t="e">
        <f ca="1"/>
        <v>#NAME?</v>
      </c>
      <c r="O24" s="7" t="e">
        <f ca="1"/>
        <v>#NAME?</v>
      </c>
    </row>
    <row r="25" spans="6:15" x14ac:dyDescent="0.3">
      <c r="F25" s="7" t="e">
        <f ca="1"/>
        <v>#NAME?</v>
      </c>
      <c r="G25" s="7" t="e">
        <f ca="1"/>
        <v>#NAME?</v>
      </c>
      <c r="H25" s="7" t="e">
        <f ca="1"/>
        <v>#NAME?</v>
      </c>
      <c r="I25" s="18" t="e">
        <f ca="1"/>
        <v>#NAME?</v>
      </c>
      <c r="J25" s="7" t="e">
        <f ca="1"/>
        <v>#NAME?</v>
      </c>
      <c r="K25" s="7" t="e">
        <f ca="1"/>
        <v>#NAME?</v>
      </c>
      <c r="L25" s="7" t="e">
        <f ca="1"/>
        <v>#NAME?</v>
      </c>
      <c r="M25" s="7" t="e">
        <f ca="1"/>
        <v>#NAME?</v>
      </c>
      <c r="N25" s="7" t="e">
        <f ca="1"/>
        <v>#NAME?</v>
      </c>
      <c r="O25" s="7" t="e">
        <f ca="1"/>
        <v>#NAME?</v>
      </c>
    </row>
    <row r="26" spans="6:15" x14ac:dyDescent="0.3">
      <c r="F26" s="7" t="e">
        <f ca="1"/>
        <v>#NAME?</v>
      </c>
      <c r="G26" s="7" t="e">
        <f ca="1"/>
        <v>#NAME?</v>
      </c>
      <c r="H26" s="7" t="e">
        <f ca="1"/>
        <v>#NAME?</v>
      </c>
      <c r="I26" s="18" t="e">
        <f ca="1"/>
        <v>#NAME?</v>
      </c>
      <c r="J26" s="7" t="e">
        <f ca="1"/>
        <v>#NAME?</v>
      </c>
      <c r="K26" s="7" t="e">
        <f ca="1"/>
        <v>#NAME?</v>
      </c>
      <c r="L26" s="7" t="e">
        <f ca="1"/>
        <v>#NAME?</v>
      </c>
      <c r="M26" s="7" t="e">
        <f ca="1"/>
        <v>#NAME?</v>
      </c>
      <c r="N26" s="7" t="e">
        <f ca="1"/>
        <v>#NAME?</v>
      </c>
      <c r="O26" s="7" t="e">
        <f ca="1"/>
        <v>#NAME?</v>
      </c>
    </row>
    <row r="27" spans="6:15" x14ac:dyDescent="0.3">
      <c r="F27" s="7" t="e">
        <f ca="1"/>
        <v>#NAME?</v>
      </c>
      <c r="G27" s="7" t="e">
        <f ca="1"/>
        <v>#NAME?</v>
      </c>
      <c r="H27" s="7" t="e">
        <f ca="1"/>
        <v>#NAME?</v>
      </c>
      <c r="I27" s="18" t="e">
        <f ca="1"/>
        <v>#NAME?</v>
      </c>
      <c r="J27" s="7" t="e">
        <f ca="1"/>
        <v>#NAME?</v>
      </c>
      <c r="K27" s="7" t="e">
        <f ca="1"/>
        <v>#NAME?</v>
      </c>
      <c r="L27" s="7" t="e">
        <f ca="1"/>
        <v>#NAME?</v>
      </c>
      <c r="M27" s="7" t="e">
        <f ca="1"/>
        <v>#NAME?</v>
      </c>
      <c r="N27" s="7" t="e">
        <f ca="1"/>
        <v>#NAME?</v>
      </c>
      <c r="O27" s="7" t="e">
        <f ca="1"/>
        <v>#NAME?</v>
      </c>
    </row>
    <row r="28" spans="6:15" x14ac:dyDescent="0.3">
      <c r="F28" s="7" t="e">
        <f ca="1"/>
        <v>#NAME?</v>
      </c>
      <c r="G28" s="7" t="e">
        <f ca="1"/>
        <v>#NAME?</v>
      </c>
      <c r="H28" s="7" t="e">
        <f ca="1"/>
        <v>#NAME?</v>
      </c>
      <c r="I28" s="18" t="e">
        <f ca="1"/>
        <v>#NAME?</v>
      </c>
      <c r="J28" s="7" t="e">
        <f ca="1"/>
        <v>#NAME?</v>
      </c>
      <c r="K28" s="7" t="e">
        <f ca="1"/>
        <v>#NAME?</v>
      </c>
      <c r="L28" s="7" t="e">
        <f ca="1"/>
        <v>#NAME?</v>
      </c>
      <c r="M28" s="7" t="e">
        <f ca="1"/>
        <v>#NAME?</v>
      </c>
      <c r="N28" s="7" t="e">
        <f ca="1"/>
        <v>#NAME?</v>
      </c>
      <c r="O28" s="7" t="e">
        <f ca="1"/>
        <v>#NAME?</v>
      </c>
    </row>
    <row r="29" spans="6:15" x14ac:dyDescent="0.3">
      <c r="F29" s="7" t="e">
        <f ca="1"/>
        <v>#NAME?</v>
      </c>
      <c r="G29" s="7" t="e">
        <f ca="1"/>
        <v>#NAME?</v>
      </c>
      <c r="H29" s="7" t="e">
        <f ca="1"/>
        <v>#NAME?</v>
      </c>
      <c r="I29" s="18" t="e">
        <f ca="1"/>
        <v>#NAME?</v>
      </c>
      <c r="J29" s="7" t="e">
        <f ca="1"/>
        <v>#NAME?</v>
      </c>
      <c r="K29" s="7" t="e">
        <f ca="1"/>
        <v>#NAME?</v>
      </c>
      <c r="L29" s="7" t="e">
        <f ca="1"/>
        <v>#NAME?</v>
      </c>
      <c r="M29" s="7" t="e">
        <f ca="1"/>
        <v>#NAME?</v>
      </c>
      <c r="N29" s="7" t="e">
        <f ca="1"/>
        <v>#NAME?</v>
      </c>
      <c r="O29" s="7" t="e">
        <f ca="1"/>
        <v>#NAME?</v>
      </c>
    </row>
    <row r="30" spans="6:15" x14ac:dyDescent="0.3">
      <c r="F30" s="7" t="e">
        <f ca="1"/>
        <v>#NAME?</v>
      </c>
      <c r="G30" s="7" t="e">
        <f ca="1"/>
        <v>#NAME?</v>
      </c>
      <c r="H30" s="7" t="e">
        <f ca="1"/>
        <v>#NAME?</v>
      </c>
      <c r="I30" s="18" t="e">
        <f ca="1"/>
        <v>#NAME?</v>
      </c>
      <c r="J30" s="7" t="e">
        <f ca="1"/>
        <v>#NAME?</v>
      </c>
      <c r="K30" s="7" t="e">
        <f ca="1"/>
        <v>#NAME?</v>
      </c>
      <c r="L30" s="7" t="e">
        <f ca="1"/>
        <v>#NAME?</v>
      </c>
      <c r="M30" s="7" t="e">
        <f ca="1"/>
        <v>#NAME?</v>
      </c>
      <c r="N30" s="7" t="e">
        <f ca="1"/>
        <v>#NAME?</v>
      </c>
      <c r="O30" s="7" t="e">
        <f ca="1"/>
        <v>#NAME?</v>
      </c>
    </row>
    <row r="31" spans="6:15" x14ac:dyDescent="0.3">
      <c r="F31" s="7" t="e">
        <f ca="1"/>
        <v>#NAME?</v>
      </c>
      <c r="G31" s="7" t="e">
        <f ca="1"/>
        <v>#NAME?</v>
      </c>
      <c r="H31" s="7" t="e">
        <f ca="1"/>
        <v>#NAME?</v>
      </c>
      <c r="I31" s="18" t="e">
        <f ca="1"/>
        <v>#NAME?</v>
      </c>
      <c r="J31" s="7" t="e">
        <f ca="1"/>
        <v>#NAME?</v>
      </c>
      <c r="K31" s="7" t="e">
        <f ca="1"/>
        <v>#NAME?</v>
      </c>
      <c r="L31" s="7" t="e">
        <f ca="1"/>
        <v>#NAME?</v>
      </c>
      <c r="M31" s="7" t="e">
        <f ca="1"/>
        <v>#NAME?</v>
      </c>
      <c r="N31" s="7" t="e">
        <f ca="1"/>
        <v>#NAME?</v>
      </c>
      <c r="O31" s="7" t="e">
        <f ca="1"/>
        <v>#NAME?</v>
      </c>
    </row>
    <row r="32" spans="6:15" x14ac:dyDescent="0.3">
      <c r="F32" s="7" t="e">
        <f ca="1"/>
        <v>#NAME?</v>
      </c>
      <c r="G32" s="7" t="e">
        <f ca="1"/>
        <v>#NAME?</v>
      </c>
      <c r="H32" s="7" t="e">
        <f ca="1"/>
        <v>#NAME?</v>
      </c>
      <c r="I32" s="18" t="e">
        <f ca="1"/>
        <v>#NAME?</v>
      </c>
      <c r="J32" s="7" t="e">
        <f ca="1"/>
        <v>#NAME?</v>
      </c>
      <c r="K32" s="7" t="e">
        <f ca="1"/>
        <v>#NAME?</v>
      </c>
      <c r="L32" s="7" t="e">
        <f ca="1"/>
        <v>#NAME?</v>
      </c>
      <c r="M32" s="7" t="e">
        <f ca="1"/>
        <v>#NAME?</v>
      </c>
      <c r="N32" s="7" t="e">
        <f ca="1"/>
        <v>#NAME?</v>
      </c>
      <c r="O32" s="7" t="e">
        <f ca="1"/>
        <v>#NAME?</v>
      </c>
    </row>
    <row r="33" spans="6:15" x14ac:dyDescent="0.3">
      <c r="F33" s="7" t="e">
        <f ca="1"/>
        <v>#NAME?</v>
      </c>
      <c r="G33" s="7" t="e">
        <f ca="1"/>
        <v>#NAME?</v>
      </c>
      <c r="H33" s="7" t="e">
        <f ca="1"/>
        <v>#NAME?</v>
      </c>
      <c r="I33" s="18" t="e">
        <f ca="1"/>
        <v>#NAME?</v>
      </c>
      <c r="J33" s="7" t="e">
        <f ca="1"/>
        <v>#NAME?</v>
      </c>
      <c r="K33" s="7" t="e">
        <f ca="1"/>
        <v>#NAME?</v>
      </c>
      <c r="L33" s="7" t="e">
        <f ca="1"/>
        <v>#NAME?</v>
      </c>
      <c r="M33" s="7" t="e">
        <f ca="1"/>
        <v>#NAME?</v>
      </c>
      <c r="N33" s="7" t="e">
        <f ca="1"/>
        <v>#NAME?</v>
      </c>
      <c r="O33" s="7" t="e">
        <f ca="1"/>
        <v>#NAME?</v>
      </c>
    </row>
    <row r="34" spans="6:15" x14ac:dyDescent="0.3">
      <c r="F34" s="7" t="e">
        <f ca="1"/>
        <v>#NAME?</v>
      </c>
      <c r="G34" s="7" t="e">
        <f ca="1"/>
        <v>#NAME?</v>
      </c>
      <c r="H34" s="7" t="e">
        <f ca="1"/>
        <v>#NAME?</v>
      </c>
      <c r="I34" s="18" t="e">
        <f ca="1"/>
        <v>#NAME?</v>
      </c>
      <c r="J34" s="7" t="e">
        <f ca="1"/>
        <v>#NAME?</v>
      </c>
      <c r="K34" s="7" t="e">
        <f ca="1"/>
        <v>#NAME?</v>
      </c>
      <c r="L34" s="7" t="e">
        <f ca="1"/>
        <v>#NAME?</v>
      </c>
      <c r="M34" s="7" t="e">
        <f ca="1"/>
        <v>#NAME?</v>
      </c>
      <c r="N34" s="7" t="e">
        <f ca="1"/>
        <v>#NAME?</v>
      </c>
      <c r="O34" s="7" t="e">
        <f ca="1"/>
        <v>#NAME?</v>
      </c>
    </row>
    <row r="35" spans="6:15" x14ac:dyDescent="0.3">
      <c r="F35" s="7" t="e">
        <f ca="1"/>
        <v>#NAME?</v>
      </c>
      <c r="G35" s="7" t="e">
        <f ca="1"/>
        <v>#NAME?</v>
      </c>
      <c r="H35" s="7" t="e">
        <f ca="1"/>
        <v>#NAME?</v>
      </c>
      <c r="I35" s="18" t="e">
        <f ca="1"/>
        <v>#NAME?</v>
      </c>
      <c r="J35" s="7" t="e">
        <f ca="1"/>
        <v>#NAME?</v>
      </c>
      <c r="K35" s="7" t="e">
        <f ca="1"/>
        <v>#NAME?</v>
      </c>
      <c r="L35" s="7" t="e">
        <f ca="1"/>
        <v>#NAME?</v>
      </c>
      <c r="M35" s="7" t="e">
        <f ca="1"/>
        <v>#NAME?</v>
      </c>
      <c r="N35" s="7" t="e">
        <f ca="1"/>
        <v>#NAME?</v>
      </c>
      <c r="O35" s="7" t="e">
        <f ca="1"/>
        <v>#NAME?</v>
      </c>
    </row>
    <row r="36" spans="6:15" x14ac:dyDescent="0.3">
      <c r="F36" s="7" t="e">
        <f ca="1"/>
        <v>#NAME?</v>
      </c>
      <c r="G36" s="7" t="e">
        <f ca="1"/>
        <v>#NAME?</v>
      </c>
      <c r="H36" s="7" t="e">
        <f ca="1"/>
        <v>#NAME?</v>
      </c>
      <c r="I36" s="18" t="e">
        <f ca="1"/>
        <v>#NAME?</v>
      </c>
      <c r="J36" s="7" t="e">
        <f ca="1"/>
        <v>#NAME?</v>
      </c>
      <c r="K36" s="7" t="e">
        <f ca="1"/>
        <v>#NAME?</v>
      </c>
      <c r="L36" s="7" t="e">
        <f ca="1"/>
        <v>#NAME?</v>
      </c>
      <c r="M36" s="7" t="e">
        <f ca="1"/>
        <v>#NAME?</v>
      </c>
      <c r="N36" s="7" t="e">
        <f ca="1"/>
        <v>#NAME?</v>
      </c>
      <c r="O36" s="7" t="e">
        <f ca="1"/>
        <v>#NAME?</v>
      </c>
    </row>
    <row r="37" spans="6:15" x14ac:dyDescent="0.3">
      <c r="F37" s="7" t="e">
        <f ca="1"/>
        <v>#NAME?</v>
      </c>
      <c r="G37" s="7" t="e">
        <f ca="1"/>
        <v>#NAME?</v>
      </c>
      <c r="H37" s="7" t="e">
        <f ca="1"/>
        <v>#NAME?</v>
      </c>
      <c r="I37" s="18" t="e">
        <f ca="1"/>
        <v>#NAME?</v>
      </c>
      <c r="J37" s="7" t="e">
        <f ca="1"/>
        <v>#NAME?</v>
      </c>
      <c r="K37" s="7" t="e">
        <f ca="1"/>
        <v>#NAME?</v>
      </c>
      <c r="L37" s="7" t="e">
        <f ca="1"/>
        <v>#NAME?</v>
      </c>
      <c r="M37" s="7" t="e">
        <f ca="1"/>
        <v>#NAME?</v>
      </c>
      <c r="N37" s="7" t="e">
        <f ca="1"/>
        <v>#NAME?</v>
      </c>
      <c r="O37" s="7" t="e">
        <f ca="1"/>
        <v>#NAME?</v>
      </c>
    </row>
    <row r="38" spans="6:15" x14ac:dyDescent="0.3">
      <c r="F38" s="7" t="e">
        <f ca="1"/>
        <v>#NAME?</v>
      </c>
      <c r="G38" s="7" t="e">
        <f ca="1"/>
        <v>#NAME?</v>
      </c>
      <c r="H38" s="7" t="e">
        <f ca="1"/>
        <v>#NAME?</v>
      </c>
      <c r="I38" s="18" t="e">
        <f ca="1"/>
        <v>#NAME?</v>
      </c>
      <c r="J38" s="7" t="e">
        <f ca="1"/>
        <v>#NAME?</v>
      </c>
      <c r="K38" s="7" t="e">
        <f ca="1"/>
        <v>#NAME?</v>
      </c>
      <c r="L38" s="7" t="e">
        <f ca="1"/>
        <v>#NAME?</v>
      </c>
      <c r="M38" s="7" t="e">
        <f ca="1"/>
        <v>#NAME?</v>
      </c>
      <c r="N38" s="7" t="e">
        <f ca="1"/>
        <v>#NAME?</v>
      </c>
      <c r="O38" s="7" t="e">
        <f ca="1"/>
        <v>#NAME?</v>
      </c>
    </row>
    <row r="39" spans="6:15" x14ac:dyDescent="0.3">
      <c r="F39" s="7" t="e">
        <f ca="1"/>
        <v>#NAME?</v>
      </c>
      <c r="G39" s="7" t="e">
        <f ca="1"/>
        <v>#NAME?</v>
      </c>
      <c r="H39" s="7" t="e">
        <f ca="1"/>
        <v>#NAME?</v>
      </c>
      <c r="I39" s="18" t="e">
        <f ca="1"/>
        <v>#NAME?</v>
      </c>
      <c r="J39" s="7" t="e">
        <f ca="1"/>
        <v>#NAME?</v>
      </c>
      <c r="K39" s="7" t="e">
        <f ca="1"/>
        <v>#NAME?</v>
      </c>
      <c r="L39" s="7" t="e">
        <f ca="1"/>
        <v>#NAME?</v>
      </c>
      <c r="M39" s="7" t="e">
        <f ca="1"/>
        <v>#NAME?</v>
      </c>
      <c r="N39" s="7" t="e">
        <f ca="1"/>
        <v>#NAME?</v>
      </c>
      <c r="O39" s="7" t="e">
        <f ca="1"/>
        <v>#NAME?</v>
      </c>
    </row>
    <row r="40" spans="6:15" x14ac:dyDescent="0.3">
      <c r="F40" s="7" t="e">
        <f ca="1"/>
        <v>#NAME?</v>
      </c>
      <c r="G40" s="7" t="e">
        <f ca="1"/>
        <v>#NAME?</v>
      </c>
      <c r="H40" s="7" t="e">
        <f ca="1"/>
        <v>#NAME?</v>
      </c>
      <c r="I40" s="18" t="e">
        <f ca="1"/>
        <v>#NAME?</v>
      </c>
      <c r="J40" s="7" t="e">
        <f ca="1"/>
        <v>#NAME?</v>
      </c>
      <c r="K40" s="7" t="e">
        <f ca="1"/>
        <v>#NAME?</v>
      </c>
      <c r="L40" s="7" t="e">
        <f ca="1"/>
        <v>#NAME?</v>
      </c>
      <c r="M40" s="7" t="e">
        <f ca="1"/>
        <v>#NAME?</v>
      </c>
      <c r="N40" s="7" t="e">
        <f ca="1"/>
        <v>#NAME?</v>
      </c>
      <c r="O40" s="7" t="e">
        <f ca="1"/>
        <v>#NAME?</v>
      </c>
    </row>
    <row r="41" spans="6:15" x14ac:dyDescent="0.3">
      <c r="F41" s="7" t="e">
        <f ca="1"/>
        <v>#NAME?</v>
      </c>
      <c r="G41" s="7" t="e">
        <f ca="1"/>
        <v>#NAME?</v>
      </c>
      <c r="H41" s="7" t="e">
        <f ca="1"/>
        <v>#NAME?</v>
      </c>
      <c r="I41" s="18" t="e">
        <f ca="1"/>
        <v>#NAME?</v>
      </c>
      <c r="J41" s="7" t="e">
        <f ca="1"/>
        <v>#NAME?</v>
      </c>
      <c r="K41" s="7" t="e">
        <f ca="1"/>
        <v>#NAME?</v>
      </c>
      <c r="L41" s="7" t="e">
        <f ca="1"/>
        <v>#NAME?</v>
      </c>
      <c r="M41" s="7" t="e">
        <f ca="1"/>
        <v>#NAME?</v>
      </c>
      <c r="N41" s="7" t="e">
        <f ca="1"/>
        <v>#NAME?</v>
      </c>
      <c r="O41" s="7" t="e">
        <f ca="1"/>
        <v>#NAME?</v>
      </c>
    </row>
    <row r="42" spans="6:15" x14ac:dyDescent="0.3">
      <c r="F42" s="7" t="e">
        <f ca="1"/>
        <v>#NAME?</v>
      </c>
      <c r="G42" s="7" t="e">
        <f ca="1"/>
        <v>#NAME?</v>
      </c>
      <c r="H42" s="7" t="e">
        <f ca="1"/>
        <v>#NAME?</v>
      </c>
      <c r="I42" s="18" t="e">
        <f ca="1"/>
        <v>#NAME?</v>
      </c>
      <c r="J42" s="7" t="e">
        <f ca="1"/>
        <v>#NAME?</v>
      </c>
      <c r="K42" s="7" t="e">
        <f ca="1"/>
        <v>#NAME?</v>
      </c>
      <c r="L42" s="7" t="e">
        <f ca="1"/>
        <v>#NAME?</v>
      </c>
      <c r="M42" s="7" t="e">
        <f ca="1"/>
        <v>#NAME?</v>
      </c>
      <c r="N42" s="7" t="e">
        <f ca="1"/>
        <v>#NAME?</v>
      </c>
      <c r="O42" s="7" t="e">
        <f ca="1"/>
        <v>#NAME?</v>
      </c>
    </row>
    <row r="43" spans="6:15" x14ac:dyDescent="0.3">
      <c r="F43" s="7" t="e">
        <f ca="1"/>
        <v>#NAME?</v>
      </c>
      <c r="G43" s="7" t="e">
        <f ca="1"/>
        <v>#NAME?</v>
      </c>
      <c r="H43" s="7" t="e">
        <f ca="1"/>
        <v>#NAME?</v>
      </c>
      <c r="I43" s="18" t="e">
        <f ca="1"/>
        <v>#NAME?</v>
      </c>
      <c r="J43" s="7" t="e">
        <f ca="1"/>
        <v>#NAME?</v>
      </c>
      <c r="K43" s="7" t="e">
        <f ca="1"/>
        <v>#NAME?</v>
      </c>
      <c r="L43" s="7" t="e">
        <f ca="1"/>
        <v>#NAME?</v>
      </c>
      <c r="M43" s="7" t="e">
        <f ca="1"/>
        <v>#NAME?</v>
      </c>
      <c r="N43" s="7" t="e">
        <f ca="1"/>
        <v>#NAME?</v>
      </c>
      <c r="O43" s="7" t="e">
        <f ca="1"/>
        <v>#NAME?</v>
      </c>
    </row>
    <row r="44" spans="6:15" x14ac:dyDescent="0.3">
      <c r="F44" s="7" t="e">
        <f ca="1"/>
        <v>#NAME?</v>
      </c>
      <c r="G44" s="7" t="e">
        <f ca="1"/>
        <v>#NAME?</v>
      </c>
      <c r="H44" s="7" t="e">
        <f ca="1"/>
        <v>#NAME?</v>
      </c>
      <c r="I44" s="18" t="e">
        <f ca="1"/>
        <v>#NAME?</v>
      </c>
      <c r="J44" s="7" t="e">
        <f ca="1"/>
        <v>#NAME?</v>
      </c>
      <c r="K44" s="7" t="e">
        <f ca="1"/>
        <v>#NAME?</v>
      </c>
      <c r="L44" s="7" t="e">
        <f ca="1"/>
        <v>#NAME?</v>
      </c>
      <c r="M44" s="7" t="e">
        <f ca="1"/>
        <v>#NAME?</v>
      </c>
      <c r="N44" s="7" t="e">
        <f ca="1"/>
        <v>#NAME?</v>
      </c>
      <c r="O44" s="7" t="e">
        <f ca="1"/>
        <v>#NAME?</v>
      </c>
    </row>
    <row r="45" spans="6:15" x14ac:dyDescent="0.3">
      <c r="F45" s="7" t="e">
        <f ca="1"/>
        <v>#NAME?</v>
      </c>
      <c r="G45" s="7" t="e">
        <f ca="1"/>
        <v>#NAME?</v>
      </c>
      <c r="H45" s="7" t="e">
        <f ca="1"/>
        <v>#NAME?</v>
      </c>
      <c r="I45" s="18" t="e">
        <f ca="1"/>
        <v>#NAME?</v>
      </c>
      <c r="J45" s="7" t="e">
        <f ca="1"/>
        <v>#NAME?</v>
      </c>
      <c r="K45" s="7" t="e">
        <f ca="1"/>
        <v>#NAME?</v>
      </c>
      <c r="L45" s="7" t="e">
        <f ca="1"/>
        <v>#NAME?</v>
      </c>
      <c r="M45" s="7" t="e">
        <f ca="1"/>
        <v>#NAME?</v>
      </c>
      <c r="N45" s="7" t="e">
        <f ca="1"/>
        <v>#NAME?</v>
      </c>
      <c r="O45" s="7" t="e">
        <f ca="1"/>
        <v>#NAME?</v>
      </c>
    </row>
    <row r="46" spans="6:15" x14ac:dyDescent="0.3">
      <c r="F46" s="7" t="e">
        <f ca="1"/>
        <v>#NAME?</v>
      </c>
      <c r="G46" s="7" t="e">
        <f ca="1"/>
        <v>#NAME?</v>
      </c>
      <c r="H46" s="7" t="e">
        <f ca="1"/>
        <v>#NAME?</v>
      </c>
      <c r="I46" s="18" t="e">
        <f ca="1"/>
        <v>#NAME?</v>
      </c>
      <c r="J46" s="7" t="e">
        <f ca="1"/>
        <v>#NAME?</v>
      </c>
      <c r="K46" s="7" t="e">
        <f ca="1"/>
        <v>#NAME?</v>
      </c>
      <c r="L46" s="7" t="e">
        <f ca="1"/>
        <v>#NAME?</v>
      </c>
      <c r="M46" s="7" t="e">
        <f ca="1"/>
        <v>#NAME?</v>
      </c>
      <c r="N46" s="7" t="e">
        <f ca="1"/>
        <v>#NAME?</v>
      </c>
      <c r="O46" s="7" t="e">
        <f ca="1"/>
        <v>#NAME?</v>
      </c>
    </row>
    <row r="47" spans="6:15" x14ac:dyDescent="0.3">
      <c r="F47" s="7" t="e">
        <f ca="1"/>
        <v>#NAME?</v>
      </c>
      <c r="G47" s="7" t="e">
        <f ca="1"/>
        <v>#NAME?</v>
      </c>
      <c r="H47" s="7" t="e">
        <f ca="1"/>
        <v>#NAME?</v>
      </c>
      <c r="I47" s="18" t="e">
        <f ca="1"/>
        <v>#NAME?</v>
      </c>
      <c r="J47" s="7" t="e">
        <f ca="1"/>
        <v>#NAME?</v>
      </c>
      <c r="K47" s="7" t="e">
        <f ca="1"/>
        <v>#NAME?</v>
      </c>
      <c r="L47" s="7" t="e">
        <f ca="1"/>
        <v>#NAME?</v>
      </c>
      <c r="M47" s="7" t="e">
        <f ca="1"/>
        <v>#NAME?</v>
      </c>
      <c r="N47" s="7" t="e">
        <f ca="1"/>
        <v>#NAME?</v>
      </c>
      <c r="O47" s="7" t="e">
        <f ca="1"/>
        <v>#NAME?</v>
      </c>
    </row>
    <row r="48" spans="6:15" x14ac:dyDescent="0.3">
      <c r="F48" s="7" t="e">
        <f ca="1"/>
        <v>#NAME?</v>
      </c>
      <c r="G48" s="7" t="e">
        <f ca="1"/>
        <v>#NAME?</v>
      </c>
      <c r="H48" s="7" t="e">
        <f ca="1"/>
        <v>#NAME?</v>
      </c>
      <c r="I48" s="18" t="e">
        <f ca="1"/>
        <v>#NAME?</v>
      </c>
      <c r="J48" s="7" t="e">
        <f ca="1"/>
        <v>#NAME?</v>
      </c>
      <c r="K48" s="7" t="e">
        <f ca="1"/>
        <v>#NAME?</v>
      </c>
      <c r="L48" s="7" t="e">
        <f ca="1"/>
        <v>#NAME?</v>
      </c>
      <c r="M48" s="7" t="e">
        <f ca="1"/>
        <v>#NAME?</v>
      </c>
      <c r="N48" s="7" t="e">
        <f ca="1"/>
        <v>#NAME?</v>
      </c>
      <c r="O48" s="7" t="e">
        <f ca="1"/>
        <v>#NAME?</v>
      </c>
    </row>
    <row r="49" spans="6:15" x14ac:dyDescent="0.3">
      <c r="F49" s="7" t="e">
        <f ca="1"/>
        <v>#NAME?</v>
      </c>
      <c r="G49" s="7" t="e">
        <f ca="1"/>
        <v>#NAME?</v>
      </c>
      <c r="H49" s="7" t="e">
        <f ca="1"/>
        <v>#NAME?</v>
      </c>
      <c r="I49" s="18" t="e">
        <f ca="1"/>
        <v>#NAME?</v>
      </c>
      <c r="J49" s="7" t="e">
        <f ca="1"/>
        <v>#NAME?</v>
      </c>
      <c r="K49" s="7" t="e">
        <f ca="1"/>
        <v>#NAME?</v>
      </c>
      <c r="L49" s="7" t="e">
        <f ca="1"/>
        <v>#NAME?</v>
      </c>
      <c r="M49" s="7" t="e">
        <f ca="1"/>
        <v>#NAME?</v>
      </c>
      <c r="N49" s="7" t="e">
        <f ca="1"/>
        <v>#NAME?</v>
      </c>
      <c r="O49" s="7" t="e">
        <f ca="1"/>
        <v>#NAME?</v>
      </c>
    </row>
    <row r="50" spans="6:15" x14ac:dyDescent="0.3">
      <c r="F50" s="7" t="e">
        <f ca="1"/>
        <v>#NAME?</v>
      </c>
      <c r="G50" s="7" t="e">
        <f ca="1"/>
        <v>#NAME?</v>
      </c>
      <c r="H50" s="7" t="e">
        <f ca="1"/>
        <v>#NAME?</v>
      </c>
      <c r="I50" s="18" t="e">
        <f ca="1"/>
        <v>#NAME?</v>
      </c>
      <c r="J50" s="7" t="e">
        <f ca="1"/>
        <v>#NAME?</v>
      </c>
      <c r="K50" s="7" t="e">
        <f ca="1"/>
        <v>#NAME?</v>
      </c>
      <c r="L50" s="7" t="e">
        <f ca="1"/>
        <v>#NAME?</v>
      </c>
      <c r="M50" s="7" t="e">
        <f ca="1"/>
        <v>#NAME?</v>
      </c>
      <c r="N50" s="7" t="e">
        <f ca="1"/>
        <v>#NAME?</v>
      </c>
      <c r="O50" s="7" t="e">
        <f ca="1"/>
        <v>#NAME?</v>
      </c>
    </row>
    <row r="51" spans="6:15" x14ac:dyDescent="0.3">
      <c r="F51" s="7" t="e">
        <f ca="1"/>
        <v>#NAME?</v>
      </c>
      <c r="G51" s="7" t="e">
        <f ca="1"/>
        <v>#NAME?</v>
      </c>
      <c r="H51" s="7" t="e">
        <f ca="1"/>
        <v>#NAME?</v>
      </c>
      <c r="I51" s="18" t="e">
        <f ca="1"/>
        <v>#NAME?</v>
      </c>
      <c r="J51" s="7" t="e">
        <f ca="1"/>
        <v>#NAME?</v>
      </c>
      <c r="K51" s="7" t="e">
        <f ca="1"/>
        <v>#NAME?</v>
      </c>
      <c r="L51" s="7" t="e">
        <f ca="1"/>
        <v>#NAME?</v>
      </c>
      <c r="M51" s="7" t="e">
        <f ca="1"/>
        <v>#NAME?</v>
      </c>
      <c r="N51" s="7" t="e">
        <f ca="1"/>
        <v>#NAME?</v>
      </c>
      <c r="O51" s="7" t="e">
        <f ca="1"/>
        <v>#NAME?</v>
      </c>
    </row>
    <row r="52" spans="6:15" x14ac:dyDescent="0.3">
      <c r="F52" s="7" t="e">
        <f ca="1"/>
        <v>#NAME?</v>
      </c>
      <c r="G52" s="7" t="e">
        <f ca="1"/>
        <v>#NAME?</v>
      </c>
      <c r="H52" s="7" t="e">
        <f ca="1"/>
        <v>#NAME?</v>
      </c>
      <c r="I52" s="18" t="e">
        <f ca="1"/>
        <v>#NAME?</v>
      </c>
      <c r="J52" s="7" t="e">
        <f ca="1"/>
        <v>#NAME?</v>
      </c>
      <c r="K52" s="7" t="e">
        <f ca="1"/>
        <v>#NAME?</v>
      </c>
      <c r="L52" s="7" t="e">
        <f ca="1"/>
        <v>#NAME?</v>
      </c>
      <c r="M52" s="7" t="e">
        <f ca="1"/>
        <v>#NAME?</v>
      </c>
      <c r="N52" s="7" t="e">
        <f ca="1"/>
        <v>#NAME?</v>
      </c>
      <c r="O52" s="7" t="e">
        <f ca="1"/>
        <v>#NAME?</v>
      </c>
    </row>
    <row r="53" spans="6:15" x14ac:dyDescent="0.3">
      <c r="F53" s="7" t="e">
        <f ca="1"/>
        <v>#NAME?</v>
      </c>
      <c r="G53" s="7" t="e">
        <f ca="1"/>
        <v>#NAME?</v>
      </c>
      <c r="H53" s="7" t="e">
        <f ca="1"/>
        <v>#NAME?</v>
      </c>
      <c r="I53" s="18" t="e">
        <f ca="1"/>
        <v>#NAME?</v>
      </c>
      <c r="J53" s="7" t="e">
        <f ca="1"/>
        <v>#NAME?</v>
      </c>
      <c r="K53" s="7" t="e">
        <f ca="1"/>
        <v>#NAME?</v>
      </c>
      <c r="L53" s="7" t="e">
        <f ca="1"/>
        <v>#NAME?</v>
      </c>
      <c r="M53" s="7" t="e">
        <f ca="1"/>
        <v>#NAME?</v>
      </c>
      <c r="N53" s="7" t="e">
        <f ca="1"/>
        <v>#NAME?</v>
      </c>
      <c r="O53" s="7" t="e">
        <f ca="1"/>
        <v>#NAME?</v>
      </c>
    </row>
    <row r="54" spans="6:15" x14ac:dyDescent="0.3">
      <c r="F54" s="7" t="e">
        <f ca="1"/>
        <v>#NAME?</v>
      </c>
      <c r="G54" s="7" t="e">
        <f ca="1"/>
        <v>#NAME?</v>
      </c>
      <c r="H54" s="7" t="e">
        <f ca="1"/>
        <v>#NAME?</v>
      </c>
      <c r="I54" s="18" t="e">
        <f ca="1"/>
        <v>#NAME?</v>
      </c>
      <c r="J54" s="7" t="e">
        <f ca="1"/>
        <v>#NAME?</v>
      </c>
      <c r="K54" s="7" t="e">
        <f ca="1"/>
        <v>#NAME?</v>
      </c>
      <c r="L54" s="7" t="e">
        <f ca="1"/>
        <v>#NAME?</v>
      </c>
      <c r="M54" s="7" t="e">
        <f ca="1"/>
        <v>#NAME?</v>
      </c>
      <c r="N54" s="7" t="e">
        <f ca="1"/>
        <v>#NAME?</v>
      </c>
      <c r="O54" s="7" t="e">
        <f ca="1"/>
        <v>#NAME?</v>
      </c>
    </row>
    <row r="55" spans="6:15" x14ac:dyDescent="0.3">
      <c r="F55" s="7" t="e">
        <f ca="1"/>
        <v>#NAME?</v>
      </c>
      <c r="G55" s="7" t="e">
        <f ca="1"/>
        <v>#NAME?</v>
      </c>
      <c r="H55" s="7" t="e">
        <f ca="1"/>
        <v>#NAME?</v>
      </c>
      <c r="I55" s="18" t="e">
        <f ca="1"/>
        <v>#NAME?</v>
      </c>
      <c r="J55" s="7" t="e">
        <f ca="1"/>
        <v>#NAME?</v>
      </c>
      <c r="K55" s="7" t="e">
        <f ca="1"/>
        <v>#NAME?</v>
      </c>
      <c r="L55" s="7" t="e">
        <f ca="1"/>
        <v>#NAME?</v>
      </c>
      <c r="M55" s="7" t="e">
        <f ca="1"/>
        <v>#NAME?</v>
      </c>
      <c r="N55" s="7" t="e">
        <f ca="1"/>
        <v>#NAME?</v>
      </c>
      <c r="O55" s="7" t="e">
        <f ca="1"/>
        <v>#NAME?</v>
      </c>
    </row>
    <row r="56" spans="6:15" x14ac:dyDescent="0.3">
      <c r="F56" s="7" t="e">
        <f ca="1"/>
        <v>#NAME?</v>
      </c>
      <c r="G56" s="7" t="e">
        <f ca="1"/>
        <v>#NAME?</v>
      </c>
      <c r="H56" s="7" t="e">
        <f ca="1"/>
        <v>#NAME?</v>
      </c>
      <c r="I56" s="18" t="e">
        <f ca="1"/>
        <v>#NAME?</v>
      </c>
      <c r="J56" s="7" t="e">
        <f ca="1"/>
        <v>#NAME?</v>
      </c>
      <c r="K56" s="7" t="e">
        <f ca="1"/>
        <v>#NAME?</v>
      </c>
      <c r="L56" s="7" t="e">
        <f ca="1"/>
        <v>#NAME?</v>
      </c>
      <c r="M56" s="7" t="e">
        <f ca="1"/>
        <v>#NAME?</v>
      </c>
      <c r="N56" s="7" t="e">
        <f ca="1"/>
        <v>#NAME?</v>
      </c>
      <c r="O56" s="7" t="e">
        <f ca="1"/>
        <v>#NAME?</v>
      </c>
    </row>
    <row r="57" spans="6:15" x14ac:dyDescent="0.3">
      <c r="F57" s="7" t="e">
        <f ca="1"/>
        <v>#NAME?</v>
      </c>
      <c r="G57" s="7" t="e">
        <f ca="1"/>
        <v>#NAME?</v>
      </c>
      <c r="H57" s="7" t="e">
        <f ca="1"/>
        <v>#NAME?</v>
      </c>
      <c r="I57" s="18" t="e">
        <f ca="1"/>
        <v>#NAME?</v>
      </c>
      <c r="J57" s="7" t="e">
        <f ca="1"/>
        <v>#NAME?</v>
      </c>
      <c r="K57" s="7" t="e">
        <f ca="1"/>
        <v>#NAME?</v>
      </c>
      <c r="L57" s="7" t="e">
        <f ca="1"/>
        <v>#NAME?</v>
      </c>
      <c r="M57" s="7" t="e">
        <f ca="1"/>
        <v>#NAME?</v>
      </c>
      <c r="N57" s="7" t="e">
        <f ca="1"/>
        <v>#NAME?</v>
      </c>
      <c r="O57" s="7" t="e">
        <f ca="1"/>
        <v>#NAME?</v>
      </c>
    </row>
    <row r="58" spans="6:15" x14ac:dyDescent="0.3">
      <c r="F58" s="7" t="e">
        <f ca="1"/>
        <v>#NAME?</v>
      </c>
      <c r="G58" s="7" t="e">
        <f ca="1"/>
        <v>#NAME?</v>
      </c>
      <c r="H58" s="7" t="e">
        <f ca="1"/>
        <v>#NAME?</v>
      </c>
      <c r="I58" s="18" t="e">
        <f ca="1"/>
        <v>#NAME?</v>
      </c>
      <c r="J58" s="7" t="e">
        <f ca="1"/>
        <v>#NAME?</v>
      </c>
      <c r="K58" s="7" t="e">
        <f ca="1"/>
        <v>#NAME?</v>
      </c>
      <c r="L58" s="7" t="e">
        <f ca="1"/>
        <v>#NAME?</v>
      </c>
      <c r="M58" s="7" t="e">
        <f ca="1"/>
        <v>#NAME?</v>
      </c>
      <c r="N58" s="7" t="e">
        <f ca="1"/>
        <v>#NAME?</v>
      </c>
      <c r="O58" s="7" t="e">
        <f ca="1"/>
        <v>#NAME?</v>
      </c>
    </row>
    <row r="59" spans="6:15" x14ac:dyDescent="0.3">
      <c r="F59" s="7" t="e">
        <f ca="1"/>
        <v>#NAME?</v>
      </c>
      <c r="G59" s="7" t="e">
        <f ca="1"/>
        <v>#NAME?</v>
      </c>
      <c r="H59" s="7" t="e">
        <f ca="1"/>
        <v>#NAME?</v>
      </c>
      <c r="I59" s="18" t="e">
        <f ca="1"/>
        <v>#NAME?</v>
      </c>
      <c r="J59" s="7" t="e">
        <f ca="1"/>
        <v>#NAME?</v>
      </c>
      <c r="K59" s="7" t="e">
        <f ca="1"/>
        <v>#NAME?</v>
      </c>
      <c r="L59" s="7" t="e">
        <f ca="1"/>
        <v>#NAME?</v>
      </c>
      <c r="M59" s="7" t="e">
        <f ca="1"/>
        <v>#NAME?</v>
      </c>
      <c r="N59" s="7" t="e">
        <f ca="1"/>
        <v>#NAME?</v>
      </c>
      <c r="O59" s="7" t="e">
        <f ca="1"/>
        <v>#NAME?</v>
      </c>
    </row>
    <row r="60" spans="6:15" x14ac:dyDescent="0.3">
      <c r="F60" s="7" t="e">
        <f ca="1"/>
        <v>#NAME?</v>
      </c>
      <c r="G60" s="7" t="e">
        <f ca="1"/>
        <v>#NAME?</v>
      </c>
      <c r="H60" s="7" t="e">
        <f ca="1"/>
        <v>#NAME?</v>
      </c>
      <c r="I60" s="18" t="e">
        <f ca="1"/>
        <v>#NAME?</v>
      </c>
      <c r="J60" s="7" t="e">
        <f ca="1"/>
        <v>#NAME?</v>
      </c>
      <c r="K60" s="7" t="e">
        <f ca="1"/>
        <v>#NAME?</v>
      </c>
      <c r="L60" s="7" t="e">
        <f ca="1"/>
        <v>#NAME?</v>
      </c>
      <c r="M60" s="7" t="e">
        <f ca="1"/>
        <v>#NAME?</v>
      </c>
      <c r="N60" s="7" t="e">
        <f ca="1"/>
        <v>#NAME?</v>
      </c>
      <c r="O60" s="7" t="e">
        <f ca="1"/>
        <v>#NAME?</v>
      </c>
    </row>
    <row r="61" spans="6:15" x14ac:dyDescent="0.3">
      <c r="F61" s="7" t="e">
        <f ca="1"/>
        <v>#NAME?</v>
      </c>
      <c r="G61" s="7" t="e">
        <f ca="1"/>
        <v>#NAME?</v>
      </c>
      <c r="H61" s="7" t="e">
        <f ca="1"/>
        <v>#NAME?</v>
      </c>
      <c r="I61" s="18" t="e">
        <f ca="1"/>
        <v>#NAME?</v>
      </c>
      <c r="J61" s="7" t="e">
        <f ca="1"/>
        <v>#NAME?</v>
      </c>
      <c r="K61" s="7" t="e">
        <f ca="1"/>
        <v>#NAME?</v>
      </c>
      <c r="L61" s="7" t="e">
        <f ca="1"/>
        <v>#NAME?</v>
      </c>
      <c r="M61" s="7" t="e">
        <f ca="1"/>
        <v>#NAME?</v>
      </c>
      <c r="N61" s="7" t="e">
        <f ca="1"/>
        <v>#NAME?</v>
      </c>
      <c r="O61" s="7" t="e">
        <f ca="1"/>
        <v>#NAME?</v>
      </c>
    </row>
    <row r="62" spans="6:15" x14ac:dyDescent="0.3">
      <c r="F62" s="7" t="e">
        <f ca="1"/>
        <v>#NAME?</v>
      </c>
      <c r="G62" s="7" t="e">
        <f ca="1"/>
        <v>#NAME?</v>
      </c>
      <c r="H62" s="7" t="e">
        <f ca="1"/>
        <v>#NAME?</v>
      </c>
      <c r="I62" s="18" t="e">
        <f ca="1"/>
        <v>#NAME?</v>
      </c>
      <c r="J62" s="7" t="e">
        <f ca="1"/>
        <v>#NAME?</v>
      </c>
      <c r="K62" s="7" t="e">
        <f ca="1"/>
        <v>#NAME?</v>
      </c>
      <c r="L62" s="7" t="e">
        <f ca="1"/>
        <v>#NAME?</v>
      </c>
      <c r="M62" s="7" t="e">
        <f ca="1"/>
        <v>#NAME?</v>
      </c>
      <c r="N62" s="7" t="e">
        <f ca="1"/>
        <v>#NAME?</v>
      </c>
      <c r="O62" s="7" t="e">
        <f ca="1"/>
        <v>#NAME?</v>
      </c>
    </row>
    <row r="63" spans="6:15" x14ac:dyDescent="0.3">
      <c r="F63" s="7" t="e">
        <f ca="1"/>
        <v>#NAME?</v>
      </c>
      <c r="G63" s="7" t="e">
        <f ca="1"/>
        <v>#NAME?</v>
      </c>
      <c r="H63" s="7" t="e">
        <f ca="1"/>
        <v>#NAME?</v>
      </c>
      <c r="I63" s="18" t="e">
        <f ca="1"/>
        <v>#NAME?</v>
      </c>
      <c r="J63" s="7" t="e">
        <f ca="1"/>
        <v>#NAME?</v>
      </c>
      <c r="K63" s="7" t="e">
        <f ca="1"/>
        <v>#NAME?</v>
      </c>
      <c r="L63" s="7" t="e">
        <f ca="1"/>
        <v>#NAME?</v>
      </c>
      <c r="M63" s="7" t="e">
        <f ca="1"/>
        <v>#NAME?</v>
      </c>
      <c r="N63" s="7" t="e">
        <f ca="1"/>
        <v>#NAME?</v>
      </c>
      <c r="O63" s="7" t="e">
        <f ca="1"/>
        <v>#NAME?</v>
      </c>
    </row>
    <row r="64" spans="6:15" x14ac:dyDescent="0.3">
      <c r="F64" s="7" t="e">
        <f ca="1"/>
        <v>#NAME?</v>
      </c>
      <c r="G64" s="7" t="e">
        <f ca="1"/>
        <v>#NAME?</v>
      </c>
      <c r="H64" s="7" t="e">
        <f ca="1"/>
        <v>#NAME?</v>
      </c>
      <c r="I64" s="18" t="e">
        <f ca="1"/>
        <v>#NAME?</v>
      </c>
      <c r="J64" s="7" t="e">
        <f ca="1"/>
        <v>#NAME?</v>
      </c>
      <c r="K64" s="7" t="e">
        <f ca="1"/>
        <v>#NAME?</v>
      </c>
      <c r="L64" s="7" t="e">
        <f ca="1"/>
        <v>#NAME?</v>
      </c>
      <c r="M64" s="7" t="e">
        <f ca="1"/>
        <v>#NAME?</v>
      </c>
      <c r="N64" s="7" t="e">
        <f ca="1"/>
        <v>#NAME?</v>
      </c>
      <c r="O64" s="7" t="e">
        <f ca="1"/>
        <v>#NAME?</v>
      </c>
    </row>
    <row r="65" spans="6:15" x14ac:dyDescent="0.3">
      <c r="F65" s="7" t="e">
        <f ca="1"/>
        <v>#NAME?</v>
      </c>
      <c r="G65" s="7" t="e">
        <f ca="1"/>
        <v>#NAME?</v>
      </c>
      <c r="H65" s="7" t="e">
        <f ca="1"/>
        <v>#NAME?</v>
      </c>
      <c r="I65" s="18" t="e">
        <f ca="1"/>
        <v>#NAME?</v>
      </c>
      <c r="J65" s="7" t="e">
        <f ca="1"/>
        <v>#NAME?</v>
      </c>
      <c r="K65" s="7" t="e">
        <f ca="1"/>
        <v>#NAME?</v>
      </c>
      <c r="L65" s="7" t="e">
        <f ca="1"/>
        <v>#NAME?</v>
      </c>
      <c r="M65" s="7" t="e">
        <f ca="1"/>
        <v>#NAME?</v>
      </c>
      <c r="N65" s="7" t="e">
        <f ca="1"/>
        <v>#NAME?</v>
      </c>
      <c r="O65" s="7" t="e">
        <f ca="1"/>
        <v>#NAME?</v>
      </c>
    </row>
    <row r="66" spans="6:15" x14ac:dyDescent="0.3">
      <c r="F66" s="7" t="e">
        <f ca="1"/>
        <v>#NAME?</v>
      </c>
      <c r="G66" s="7" t="e">
        <f ca="1"/>
        <v>#NAME?</v>
      </c>
      <c r="H66" s="7" t="e">
        <f ca="1"/>
        <v>#NAME?</v>
      </c>
      <c r="I66" s="18" t="e">
        <f ca="1"/>
        <v>#NAME?</v>
      </c>
      <c r="J66" s="7" t="e">
        <f ca="1"/>
        <v>#NAME?</v>
      </c>
      <c r="K66" s="7" t="e">
        <f ca="1"/>
        <v>#NAME?</v>
      </c>
      <c r="L66" s="7" t="e">
        <f ca="1"/>
        <v>#NAME?</v>
      </c>
      <c r="M66" s="7" t="e">
        <f ca="1"/>
        <v>#NAME?</v>
      </c>
      <c r="N66" s="7" t="e">
        <f ca="1"/>
        <v>#NAME?</v>
      </c>
      <c r="O66" s="7" t="e">
        <f ca="1"/>
        <v>#NAME?</v>
      </c>
    </row>
    <row r="67" spans="6:15" x14ac:dyDescent="0.3">
      <c r="F67" s="7" t="e">
        <f ca="1"/>
        <v>#NAME?</v>
      </c>
      <c r="G67" s="7" t="e">
        <f ca="1"/>
        <v>#NAME?</v>
      </c>
      <c r="H67" s="7" t="e">
        <f ca="1"/>
        <v>#NAME?</v>
      </c>
      <c r="I67" s="18" t="e">
        <f ca="1"/>
        <v>#NAME?</v>
      </c>
      <c r="J67" s="7" t="e">
        <f ca="1"/>
        <v>#NAME?</v>
      </c>
      <c r="K67" s="7" t="e">
        <f ca="1"/>
        <v>#NAME?</v>
      </c>
      <c r="L67" s="7" t="e">
        <f ca="1"/>
        <v>#NAME?</v>
      </c>
      <c r="M67" s="7" t="e">
        <f ca="1"/>
        <v>#NAME?</v>
      </c>
      <c r="N67" s="7" t="e">
        <f ca="1"/>
        <v>#NAME?</v>
      </c>
      <c r="O67" s="7" t="e">
        <f ca="1"/>
        <v>#NAME?</v>
      </c>
    </row>
    <row r="68" spans="6:15" x14ac:dyDescent="0.3">
      <c r="F68" s="7" t="e">
        <f ca="1"/>
        <v>#NAME?</v>
      </c>
      <c r="G68" s="7" t="e">
        <f ca="1"/>
        <v>#NAME?</v>
      </c>
      <c r="H68" s="7" t="e">
        <f ca="1"/>
        <v>#NAME?</v>
      </c>
      <c r="I68" s="18" t="e">
        <f ca="1"/>
        <v>#NAME?</v>
      </c>
      <c r="J68" s="7" t="e">
        <f ca="1"/>
        <v>#NAME?</v>
      </c>
      <c r="K68" s="7" t="e">
        <f ca="1"/>
        <v>#NAME?</v>
      </c>
      <c r="L68" s="7" t="e">
        <f ca="1"/>
        <v>#NAME?</v>
      </c>
      <c r="M68" s="7" t="e">
        <f ca="1"/>
        <v>#NAME?</v>
      </c>
      <c r="N68" s="7" t="e">
        <f ca="1"/>
        <v>#NAME?</v>
      </c>
      <c r="O68" s="7" t="e">
        <f ca="1"/>
        <v>#NAME?</v>
      </c>
    </row>
    <row r="69" spans="6:15" x14ac:dyDescent="0.3">
      <c r="F69" s="7" t="e">
        <f ca="1"/>
        <v>#NAME?</v>
      </c>
      <c r="G69" s="7" t="e">
        <f ca="1"/>
        <v>#NAME?</v>
      </c>
      <c r="H69" s="7" t="e">
        <f ca="1"/>
        <v>#NAME?</v>
      </c>
      <c r="I69" s="18" t="e">
        <f ca="1"/>
        <v>#NAME?</v>
      </c>
      <c r="J69" s="7" t="e">
        <f ca="1"/>
        <v>#NAME?</v>
      </c>
      <c r="K69" s="7" t="e">
        <f ca="1"/>
        <v>#NAME?</v>
      </c>
      <c r="L69" s="7" t="e">
        <f ca="1"/>
        <v>#NAME?</v>
      </c>
      <c r="M69" s="7" t="e">
        <f ca="1"/>
        <v>#NAME?</v>
      </c>
      <c r="N69" s="7" t="e">
        <f ca="1"/>
        <v>#NAME?</v>
      </c>
      <c r="O69" s="7" t="e">
        <f ca="1"/>
        <v>#NAME?</v>
      </c>
    </row>
    <row r="70" spans="6:15" x14ac:dyDescent="0.3">
      <c r="F70" s="7" t="e">
        <f ca="1"/>
        <v>#NAME?</v>
      </c>
      <c r="G70" s="7" t="e">
        <f ca="1"/>
        <v>#NAME?</v>
      </c>
      <c r="H70" s="7" t="e">
        <f ca="1"/>
        <v>#NAME?</v>
      </c>
      <c r="I70" s="18" t="e">
        <f ca="1"/>
        <v>#NAME?</v>
      </c>
      <c r="J70" s="7" t="e">
        <f ca="1"/>
        <v>#NAME?</v>
      </c>
      <c r="K70" s="7" t="e">
        <f ca="1"/>
        <v>#NAME?</v>
      </c>
      <c r="L70" s="7" t="e">
        <f ca="1"/>
        <v>#NAME?</v>
      </c>
      <c r="M70" s="7" t="e">
        <f ca="1"/>
        <v>#NAME?</v>
      </c>
      <c r="N70" s="7" t="e">
        <f ca="1"/>
        <v>#NAME?</v>
      </c>
      <c r="O70" s="7" t="e">
        <f ca="1"/>
        <v>#NAME?</v>
      </c>
    </row>
    <row r="71" spans="6:15" x14ac:dyDescent="0.3">
      <c r="F71" s="7" t="e">
        <f ca="1"/>
        <v>#NAME?</v>
      </c>
      <c r="G71" s="7" t="e">
        <f ca="1"/>
        <v>#NAME?</v>
      </c>
      <c r="H71" s="7" t="e">
        <f ca="1"/>
        <v>#NAME?</v>
      </c>
      <c r="I71" s="18" t="e">
        <f ca="1"/>
        <v>#NAME?</v>
      </c>
      <c r="J71" s="7" t="e">
        <f ca="1"/>
        <v>#NAME?</v>
      </c>
      <c r="K71" s="7" t="e">
        <f ca="1"/>
        <v>#NAME?</v>
      </c>
      <c r="L71" s="7" t="e">
        <f ca="1"/>
        <v>#NAME?</v>
      </c>
      <c r="M71" s="7" t="e">
        <f ca="1"/>
        <v>#NAME?</v>
      </c>
      <c r="N71" s="7" t="e">
        <f ca="1"/>
        <v>#NAME?</v>
      </c>
      <c r="O71" s="7" t="e">
        <f ca="1"/>
        <v>#NAME?</v>
      </c>
    </row>
    <row r="72" spans="6:15" x14ac:dyDescent="0.3">
      <c r="F72" s="7" t="e">
        <f ca="1"/>
        <v>#NAME?</v>
      </c>
      <c r="G72" s="7" t="e">
        <f ca="1"/>
        <v>#NAME?</v>
      </c>
      <c r="H72" s="7" t="e">
        <f ca="1"/>
        <v>#NAME?</v>
      </c>
      <c r="I72" s="18" t="e">
        <f ca="1"/>
        <v>#NAME?</v>
      </c>
      <c r="J72" s="7" t="e">
        <f ca="1"/>
        <v>#NAME?</v>
      </c>
      <c r="K72" s="7" t="e">
        <f ca="1"/>
        <v>#NAME?</v>
      </c>
      <c r="L72" s="7" t="e">
        <f ca="1"/>
        <v>#NAME?</v>
      </c>
      <c r="M72" s="7" t="e">
        <f ca="1"/>
        <v>#NAME?</v>
      </c>
      <c r="N72" s="7" t="e">
        <f ca="1"/>
        <v>#NAME?</v>
      </c>
      <c r="O72" s="7" t="e">
        <f ca="1"/>
        <v>#NAME?</v>
      </c>
    </row>
    <row r="73" spans="6:15" x14ac:dyDescent="0.3">
      <c r="F73" s="7" t="e">
        <f ca="1"/>
        <v>#NAME?</v>
      </c>
      <c r="G73" s="7" t="e">
        <f ca="1"/>
        <v>#NAME?</v>
      </c>
      <c r="H73" s="7" t="e">
        <f ca="1"/>
        <v>#NAME?</v>
      </c>
      <c r="I73" s="18" t="e">
        <f ca="1"/>
        <v>#NAME?</v>
      </c>
      <c r="J73" s="7" t="e">
        <f ca="1"/>
        <v>#NAME?</v>
      </c>
      <c r="K73" s="7" t="e">
        <f ca="1"/>
        <v>#NAME?</v>
      </c>
      <c r="L73" s="7" t="e">
        <f ca="1"/>
        <v>#NAME?</v>
      </c>
      <c r="M73" s="7" t="e">
        <f ca="1"/>
        <v>#NAME?</v>
      </c>
      <c r="N73" s="7" t="e">
        <f ca="1"/>
        <v>#NAME?</v>
      </c>
      <c r="O73" s="7" t="e">
        <f ca="1"/>
        <v>#NAME?</v>
      </c>
    </row>
    <row r="74" spans="6:15" x14ac:dyDescent="0.3">
      <c r="F74" s="7" t="e">
        <f ca="1"/>
        <v>#NAME?</v>
      </c>
      <c r="G74" s="7" t="e">
        <f ca="1"/>
        <v>#NAME?</v>
      </c>
      <c r="H74" s="7" t="e">
        <f ca="1"/>
        <v>#NAME?</v>
      </c>
      <c r="I74" s="18" t="e">
        <f ca="1"/>
        <v>#NAME?</v>
      </c>
      <c r="J74" s="7" t="e">
        <f ca="1"/>
        <v>#NAME?</v>
      </c>
      <c r="K74" s="7" t="e">
        <f ca="1"/>
        <v>#NAME?</v>
      </c>
      <c r="L74" s="7" t="e">
        <f ca="1"/>
        <v>#NAME?</v>
      </c>
      <c r="M74" s="7" t="e">
        <f ca="1"/>
        <v>#NAME?</v>
      </c>
      <c r="N74" s="7" t="e">
        <f ca="1"/>
        <v>#NAME?</v>
      </c>
      <c r="O74" s="7" t="e">
        <f ca="1"/>
        <v>#NAME?</v>
      </c>
    </row>
    <row r="75" spans="6:15" x14ac:dyDescent="0.3">
      <c r="F75" s="7" t="e">
        <f ca="1"/>
        <v>#NAME?</v>
      </c>
      <c r="G75" s="7" t="e">
        <f ca="1"/>
        <v>#NAME?</v>
      </c>
      <c r="H75" s="7" t="e">
        <f ca="1"/>
        <v>#NAME?</v>
      </c>
      <c r="I75" s="18" t="e">
        <f ca="1"/>
        <v>#NAME?</v>
      </c>
      <c r="J75" s="7" t="e">
        <f ca="1"/>
        <v>#NAME?</v>
      </c>
      <c r="K75" s="7" t="e">
        <f ca="1"/>
        <v>#NAME?</v>
      </c>
      <c r="L75" s="7" t="e">
        <f ca="1"/>
        <v>#NAME?</v>
      </c>
      <c r="M75" s="7" t="e">
        <f ca="1"/>
        <v>#NAME?</v>
      </c>
      <c r="N75" s="7" t="e">
        <f ca="1"/>
        <v>#NAME?</v>
      </c>
      <c r="O75" s="7" t="e">
        <f ca="1"/>
        <v>#NAME?</v>
      </c>
    </row>
    <row r="76" spans="6:15" x14ac:dyDescent="0.3">
      <c r="F76" s="7" t="e">
        <f ca="1"/>
        <v>#NAME?</v>
      </c>
      <c r="G76" s="7" t="e">
        <f ca="1"/>
        <v>#NAME?</v>
      </c>
      <c r="H76" s="7" t="e">
        <f ca="1"/>
        <v>#NAME?</v>
      </c>
      <c r="I76" s="18" t="e">
        <f ca="1"/>
        <v>#NAME?</v>
      </c>
      <c r="J76" s="7" t="e">
        <f ca="1"/>
        <v>#NAME?</v>
      </c>
      <c r="K76" s="7" t="e">
        <f ca="1"/>
        <v>#NAME?</v>
      </c>
      <c r="L76" s="7" t="e">
        <f ca="1"/>
        <v>#NAME?</v>
      </c>
      <c r="M76" s="7" t="e">
        <f ca="1"/>
        <v>#NAME?</v>
      </c>
      <c r="N76" s="7" t="e">
        <f ca="1"/>
        <v>#NAME?</v>
      </c>
      <c r="O76" s="7" t="e">
        <f ca="1"/>
        <v>#NAME?</v>
      </c>
    </row>
    <row r="77" spans="6:15" x14ac:dyDescent="0.3">
      <c r="F77" s="7" t="e">
        <f ca="1"/>
        <v>#NAME?</v>
      </c>
      <c r="G77" s="7" t="e">
        <f ca="1"/>
        <v>#NAME?</v>
      </c>
      <c r="H77" s="7" t="e">
        <f ca="1"/>
        <v>#NAME?</v>
      </c>
      <c r="I77" s="18" t="e">
        <f ca="1"/>
        <v>#NAME?</v>
      </c>
      <c r="J77" s="7" t="e">
        <f ca="1"/>
        <v>#NAME?</v>
      </c>
      <c r="K77" s="7" t="e">
        <f ca="1"/>
        <v>#NAME?</v>
      </c>
      <c r="L77" s="7" t="e">
        <f ca="1"/>
        <v>#NAME?</v>
      </c>
      <c r="M77" s="7" t="e">
        <f ca="1"/>
        <v>#NAME?</v>
      </c>
      <c r="N77" s="7" t="e">
        <f ca="1"/>
        <v>#NAME?</v>
      </c>
      <c r="O77" s="7" t="e">
        <f ca="1"/>
        <v>#NAME?</v>
      </c>
    </row>
    <row r="78" spans="6:15" x14ac:dyDescent="0.3">
      <c r="F78" s="7" t="e">
        <f ca="1"/>
        <v>#NAME?</v>
      </c>
      <c r="G78" s="7" t="e">
        <f ca="1"/>
        <v>#NAME?</v>
      </c>
      <c r="H78" s="7" t="e">
        <f ca="1"/>
        <v>#NAME?</v>
      </c>
      <c r="I78" s="18" t="e">
        <f ca="1"/>
        <v>#NAME?</v>
      </c>
      <c r="J78" s="7" t="e">
        <f ca="1"/>
        <v>#NAME?</v>
      </c>
      <c r="K78" s="7" t="e">
        <f ca="1"/>
        <v>#NAME?</v>
      </c>
      <c r="L78" s="7" t="e">
        <f ca="1"/>
        <v>#NAME?</v>
      </c>
      <c r="M78" s="7" t="e">
        <f ca="1"/>
        <v>#NAME?</v>
      </c>
      <c r="N78" s="7" t="e">
        <f ca="1"/>
        <v>#NAME?</v>
      </c>
      <c r="O78" s="7" t="e">
        <f ca="1"/>
        <v>#NAME?</v>
      </c>
    </row>
    <row r="79" spans="6:15" x14ac:dyDescent="0.3">
      <c r="F79" s="7" t="e">
        <f ca="1"/>
        <v>#NAME?</v>
      </c>
      <c r="G79" s="7" t="e">
        <f ca="1"/>
        <v>#NAME?</v>
      </c>
      <c r="H79" s="7" t="e">
        <f ca="1"/>
        <v>#NAME?</v>
      </c>
      <c r="I79" s="18" t="e">
        <f ca="1"/>
        <v>#NAME?</v>
      </c>
      <c r="J79" s="7" t="e">
        <f ca="1"/>
        <v>#NAME?</v>
      </c>
      <c r="K79" s="7" t="e">
        <f ca="1"/>
        <v>#NAME?</v>
      </c>
      <c r="L79" s="7" t="e">
        <f ca="1"/>
        <v>#NAME?</v>
      </c>
      <c r="M79" s="7" t="e">
        <f ca="1"/>
        <v>#NAME?</v>
      </c>
      <c r="N79" s="7" t="e">
        <f ca="1"/>
        <v>#NAME?</v>
      </c>
      <c r="O79" s="7" t="e">
        <f ca="1"/>
        <v>#NAME?</v>
      </c>
    </row>
    <row r="80" spans="6:15" x14ac:dyDescent="0.3">
      <c r="F80" s="7" t="e">
        <f ca="1"/>
        <v>#NAME?</v>
      </c>
      <c r="G80" s="7" t="e">
        <f ca="1"/>
        <v>#NAME?</v>
      </c>
      <c r="H80" s="7" t="e">
        <f ca="1"/>
        <v>#NAME?</v>
      </c>
      <c r="I80" s="18" t="e">
        <f ca="1"/>
        <v>#NAME?</v>
      </c>
      <c r="J80" s="7" t="e">
        <f ca="1"/>
        <v>#NAME?</v>
      </c>
      <c r="K80" s="7" t="e">
        <f ca="1"/>
        <v>#NAME?</v>
      </c>
      <c r="L80" s="7" t="e">
        <f ca="1"/>
        <v>#NAME?</v>
      </c>
      <c r="M80" s="7" t="e">
        <f ca="1"/>
        <v>#NAME?</v>
      </c>
      <c r="N80" s="7" t="e">
        <f ca="1"/>
        <v>#NAME?</v>
      </c>
      <c r="O80" s="7" t="e">
        <f ca="1"/>
        <v>#NAME?</v>
      </c>
    </row>
    <row r="81" spans="6:15" x14ac:dyDescent="0.3">
      <c r="F81" s="7" t="e">
        <f ca="1"/>
        <v>#NAME?</v>
      </c>
      <c r="G81" s="7" t="e">
        <f ca="1"/>
        <v>#NAME?</v>
      </c>
      <c r="H81" s="7" t="e">
        <f ca="1"/>
        <v>#NAME?</v>
      </c>
      <c r="I81" s="18" t="e">
        <f ca="1"/>
        <v>#NAME?</v>
      </c>
      <c r="J81" s="7" t="e">
        <f ca="1"/>
        <v>#NAME?</v>
      </c>
      <c r="K81" s="7" t="e">
        <f ca="1"/>
        <v>#NAME?</v>
      </c>
      <c r="L81" s="7" t="e">
        <f ca="1"/>
        <v>#NAME?</v>
      </c>
      <c r="M81" s="7" t="e">
        <f ca="1"/>
        <v>#NAME?</v>
      </c>
      <c r="N81" s="7" t="e">
        <f ca="1"/>
        <v>#NAME?</v>
      </c>
      <c r="O81" s="7" t="e">
        <f ca="1"/>
        <v>#NAME?</v>
      </c>
    </row>
    <row r="82" spans="6:15" x14ac:dyDescent="0.3">
      <c r="F82" s="7" t="e">
        <f ca="1"/>
        <v>#NAME?</v>
      </c>
      <c r="G82" s="7" t="e">
        <f ca="1"/>
        <v>#NAME?</v>
      </c>
      <c r="H82" s="7" t="e">
        <f ca="1"/>
        <v>#NAME?</v>
      </c>
      <c r="I82" s="18" t="e">
        <f ca="1"/>
        <v>#NAME?</v>
      </c>
      <c r="J82" s="7" t="e">
        <f ca="1"/>
        <v>#NAME?</v>
      </c>
      <c r="K82" s="7" t="e">
        <f ca="1"/>
        <v>#NAME?</v>
      </c>
      <c r="L82" s="7" t="e">
        <f ca="1"/>
        <v>#NAME?</v>
      </c>
      <c r="M82" s="7" t="e">
        <f ca="1"/>
        <v>#NAME?</v>
      </c>
      <c r="N82" s="7" t="e">
        <f ca="1"/>
        <v>#NAME?</v>
      </c>
      <c r="O82" s="7" t="e">
        <f ca="1"/>
        <v>#NAME?</v>
      </c>
    </row>
    <row r="83" spans="6:15" x14ac:dyDescent="0.3">
      <c r="F83" s="7" t="e">
        <f ca="1"/>
        <v>#NAME?</v>
      </c>
      <c r="G83" s="7" t="e">
        <f ca="1"/>
        <v>#NAME?</v>
      </c>
      <c r="H83" s="7" t="e">
        <f ca="1"/>
        <v>#NAME?</v>
      </c>
      <c r="I83" s="18" t="e">
        <f ca="1"/>
        <v>#NAME?</v>
      </c>
      <c r="J83" s="7" t="e">
        <f ca="1"/>
        <v>#NAME?</v>
      </c>
      <c r="K83" s="7" t="e">
        <f ca="1"/>
        <v>#NAME?</v>
      </c>
      <c r="L83" s="7" t="e">
        <f ca="1"/>
        <v>#NAME?</v>
      </c>
      <c r="M83" s="7" t="e">
        <f ca="1"/>
        <v>#NAME?</v>
      </c>
      <c r="N83" s="7" t="e">
        <f ca="1"/>
        <v>#NAME?</v>
      </c>
      <c r="O83" s="7" t="e">
        <f ca="1"/>
        <v>#NAME?</v>
      </c>
    </row>
    <row r="84" spans="6:15" x14ac:dyDescent="0.3">
      <c r="F84" s="7" t="e">
        <f ca="1"/>
        <v>#NAME?</v>
      </c>
      <c r="G84" s="7" t="e">
        <f ca="1"/>
        <v>#NAME?</v>
      </c>
      <c r="H84" s="7" t="e">
        <f ca="1"/>
        <v>#NAME?</v>
      </c>
      <c r="I84" s="18" t="e">
        <f ca="1"/>
        <v>#NAME?</v>
      </c>
      <c r="J84" s="7" t="e">
        <f ca="1"/>
        <v>#NAME?</v>
      </c>
      <c r="K84" s="7" t="e">
        <f ca="1"/>
        <v>#NAME?</v>
      </c>
      <c r="L84" s="7" t="e">
        <f ca="1"/>
        <v>#NAME?</v>
      </c>
      <c r="M84" s="7" t="e">
        <f ca="1"/>
        <v>#NAME?</v>
      </c>
      <c r="N84" s="7" t="e">
        <f ca="1"/>
        <v>#NAME?</v>
      </c>
      <c r="O84" s="7" t="e">
        <f ca="1"/>
        <v>#NAME?</v>
      </c>
    </row>
    <row r="85" spans="6:15" x14ac:dyDescent="0.3">
      <c r="F85" s="7" t="e">
        <f ca="1"/>
        <v>#NAME?</v>
      </c>
      <c r="G85" s="7" t="e">
        <f ca="1"/>
        <v>#NAME?</v>
      </c>
      <c r="H85" s="7" t="e">
        <f ca="1"/>
        <v>#NAME?</v>
      </c>
      <c r="I85" s="18" t="e">
        <f ca="1"/>
        <v>#NAME?</v>
      </c>
      <c r="J85" s="7" t="e">
        <f ca="1"/>
        <v>#NAME?</v>
      </c>
      <c r="K85" s="7" t="e">
        <f ca="1"/>
        <v>#NAME?</v>
      </c>
      <c r="L85" s="7" t="e">
        <f ca="1"/>
        <v>#NAME?</v>
      </c>
      <c r="M85" s="7" t="e">
        <f ca="1"/>
        <v>#NAME?</v>
      </c>
      <c r="N85" s="7" t="e">
        <f ca="1"/>
        <v>#NAME?</v>
      </c>
      <c r="O85" s="7" t="e">
        <f ca="1"/>
        <v>#NAME?</v>
      </c>
    </row>
    <row r="86" spans="6:15" x14ac:dyDescent="0.3">
      <c r="F86" s="7" t="e">
        <f ca="1"/>
        <v>#NAME?</v>
      </c>
      <c r="G86" s="7" t="e">
        <f ca="1"/>
        <v>#NAME?</v>
      </c>
      <c r="H86" s="7" t="e">
        <f ca="1"/>
        <v>#NAME?</v>
      </c>
      <c r="I86" s="18" t="e">
        <f ca="1"/>
        <v>#NAME?</v>
      </c>
      <c r="J86" s="7" t="e">
        <f ca="1"/>
        <v>#NAME?</v>
      </c>
      <c r="K86" s="7" t="e">
        <f ca="1"/>
        <v>#NAME?</v>
      </c>
      <c r="L86" s="7" t="e">
        <f ca="1"/>
        <v>#NAME?</v>
      </c>
      <c r="M86" s="7" t="e">
        <f ca="1"/>
        <v>#NAME?</v>
      </c>
      <c r="N86" s="7" t="e">
        <f ca="1"/>
        <v>#NAME?</v>
      </c>
      <c r="O86" s="7" t="e">
        <f ca="1"/>
        <v>#NAME?</v>
      </c>
    </row>
    <row r="87" spans="6:15" x14ac:dyDescent="0.3">
      <c r="F87" s="7" t="e">
        <f ca="1"/>
        <v>#NAME?</v>
      </c>
      <c r="G87" s="7" t="e">
        <f ca="1"/>
        <v>#NAME?</v>
      </c>
      <c r="H87" s="7" t="e">
        <f ca="1"/>
        <v>#NAME?</v>
      </c>
      <c r="I87" s="18" t="e">
        <f ca="1"/>
        <v>#NAME?</v>
      </c>
      <c r="J87" s="7" t="e">
        <f ca="1"/>
        <v>#NAME?</v>
      </c>
      <c r="K87" s="7" t="e">
        <f ca="1"/>
        <v>#NAME?</v>
      </c>
      <c r="L87" s="7" t="e">
        <f ca="1"/>
        <v>#NAME?</v>
      </c>
      <c r="M87" s="7" t="e">
        <f ca="1"/>
        <v>#NAME?</v>
      </c>
      <c r="N87" s="7" t="e">
        <f ca="1"/>
        <v>#NAME?</v>
      </c>
      <c r="O87" s="7" t="e">
        <f ca="1"/>
        <v>#NAME?</v>
      </c>
    </row>
    <row r="88" spans="6:15" x14ac:dyDescent="0.3">
      <c r="F88" s="7" t="e">
        <f ca="1"/>
        <v>#NAME?</v>
      </c>
      <c r="G88" s="7" t="e">
        <f ca="1"/>
        <v>#NAME?</v>
      </c>
      <c r="H88" s="7" t="e">
        <f ca="1"/>
        <v>#NAME?</v>
      </c>
      <c r="I88" s="18" t="e">
        <f ca="1"/>
        <v>#NAME?</v>
      </c>
      <c r="J88" s="7" t="e">
        <f ca="1"/>
        <v>#NAME?</v>
      </c>
      <c r="K88" s="7" t="e">
        <f ca="1"/>
        <v>#NAME?</v>
      </c>
      <c r="L88" s="7" t="e">
        <f ca="1"/>
        <v>#NAME?</v>
      </c>
      <c r="M88" s="7" t="e">
        <f ca="1"/>
        <v>#NAME?</v>
      </c>
      <c r="N88" s="7" t="e">
        <f ca="1"/>
        <v>#NAME?</v>
      </c>
      <c r="O88" s="7" t="e">
        <f ca="1"/>
        <v>#NAME?</v>
      </c>
    </row>
    <row r="89" spans="6:15" x14ac:dyDescent="0.3">
      <c r="F89" s="7" t="e">
        <f ca="1"/>
        <v>#NAME?</v>
      </c>
      <c r="G89" s="7" t="e">
        <f ca="1"/>
        <v>#NAME?</v>
      </c>
      <c r="H89" s="7" t="e">
        <f ca="1"/>
        <v>#NAME?</v>
      </c>
      <c r="I89" s="18" t="e">
        <f ca="1"/>
        <v>#NAME?</v>
      </c>
      <c r="J89" s="7" t="e">
        <f ca="1"/>
        <v>#NAME?</v>
      </c>
      <c r="K89" s="7" t="e">
        <f ca="1"/>
        <v>#NAME?</v>
      </c>
      <c r="L89" s="7" t="e">
        <f ca="1"/>
        <v>#NAME?</v>
      </c>
      <c r="M89" s="7" t="e">
        <f ca="1"/>
        <v>#NAME?</v>
      </c>
      <c r="N89" s="7" t="e">
        <f ca="1"/>
        <v>#NAME?</v>
      </c>
      <c r="O89" s="7" t="e">
        <f ca="1"/>
        <v>#NAME?</v>
      </c>
    </row>
    <row r="90" spans="6:15" x14ac:dyDescent="0.3">
      <c r="F90" s="7" t="e">
        <f ca="1"/>
        <v>#NAME?</v>
      </c>
      <c r="G90" s="7" t="e">
        <f ca="1"/>
        <v>#NAME?</v>
      </c>
      <c r="H90" s="7" t="e">
        <f ca="1"/>
        <v>#NAME?</v>
      </c>
      <c r="I90" s="18" t="e">
        <f ca="1"/>
        <v>#NAME?</v>
      </c>
      <c r="J90" s="7" t="e">
        <f ca="1"/>
        <v>#NAME?</v>
      </c>
      <c r="K90" s="7" t="e">
        <f ca="1"/>
        <v>#NAME?</v>
      </c>
      <c r="L90" s="7" t="e">
        <f ca="1"/>
        <v>#NAME?</v>
      </c>
      <c r="M90" s="7" t="e">
        <f ca="1"/>
        <v>#NAME?</v>
      </c>
      <c r="N90" s="7" t="e">
        <f ca="1"/>
        <v>#NAME?</v>
      </c>
      <c r="O90" s="7" t="e">
        <f ca="1"/>
        <v>#NAME?</v>
      </c>
    </row>
    <row r="91" spans="6:15" x14ac:dyDescent="0.3">
      <c r="F91" s="7" t="e">
        <f ca="1"/>
        <v>#NAME?</v>
      </c>
      <c r="G91" s="7" t="e">
        <f ca="1"/>
        <v>#NAME?</v>
      </c>
      <c r="H91" s="7" t="e">
        <f ca="1"/>
        <v>#NAME?</v>
      </c>
      <c r="I91" s="18" t="e">
        <f ca="1"/>
        <v>#NAME?</v>
      </c>
      <c r="J91" s="7" t="e">
        <f ca="1"/>
        <v>#NAME?</v>
      </c>
      <c r="K91" s="7" t="e">
        <f ca="1"/>
        <v>#NAME?</v>
      </c>
      <c r="L91" s="7" t="e">
        <f ca="1"/>
        <v>#NAME?</v>
      </c>
      <c r="M91" s="7" t="e">
        <f ca="1"/>
        <v>#NAME?</v>
      </c>
      <c r="N91" s="7" t="e">
        <f ca="1"/>
        <v>#NAME?</v>
      </c>
      <c r="O91" s="7" t="e">
        <f ca="1"/>
        <v>#NAME?</v>
      </c>
    </row>
    <row r="92" spans="6:15" x14ac:dyDescent="0.3">
      <c r="F92" s="7" t="e">
        <f ca="1"/>
        <v>#NAME?</v>
      </c>
      <c r="G92" s="7" t="e">
        <f ca="1"/>
        <v>#NAME?</v>
      </c>
      <c r="H92" s="7" t="e">
        <f ca="1"/>
        <v>#NAME?</v>
      </c>
      <c r="I92" s="18" t="e">
        <f ca="1"/>
        <v>#NAME?</v>
      </c>
      <c r="J92" s="7" t="e">
        <f ca="1"/>
        <v>#NAME?</v>
      </c>
      <c r="K92" s="7" t="e">
        <f ca="1"/>
        <v>#NAME?</v>
      </c>
      <c r="L92" s="7" t="e">
        <f ca="1"/>
        <v>#NAME?</v>
      </c>
      <c r="M92" s="7" t="e">
        <f ca="1"/>
        <v>#NAME?</v>
      </c>
      <c r="N92" s="7" t="e">
        <f ca="1"/>
        <v>#NAME?</v>
      </c>
      <c r="O92" s="7" t="e">
        <f ca="1"/>
        <v>#NAME?</v>
      </c>
    </row>
    <row r="93" spans="6:15" x14ac:dyDescent="0.3">
      <c r="F93" s="7" t="e">
        <f ca="1"/>
        <v>#NAME?</v>
      </c>
      <c r="G93" s="7" t="e">
        <f ca="1"/>
        <v>#NAME?</v>
      </c>
      <c r="H93" s="7" t="e">
        <f ca="1"/>
        <v>#NAME?</v>
      </c>
      <c r="I93" s="18" t="e">
        <f ca="1"/>
        <v>#NAME?</v>
      </c>
      <c r="J93" s="7" t="e">
        <f ca="1"/>
        <v>#NAME?</v>
      </c>
      <c r="K93" s="7" t="e">
        <f ca="1"/>
        <v>#NAME?</v>
      </c>
      <c r="L93" s="7" t="e">
        <f ca="1"/>
        <v>#NAME?</v>
      </c>
      <c r="M93" s="7" t="e">
        <f ca="1"/>
        <v>#NAME?</v>
      </c>
      <c r="N93" s="7" t="e">
        <f ca="1"/>
        <v>#NAME?</v>
      </c>
      <c r="O93" s="7" t="e">
        <f ca="1"/>
        <v>#NAME?</v>
      </c>
    </row>
    <row r="94" spans="6:15" x14ac:dyDescent="0.3">
      <c r="F94" s="7" t="e">
        <f ca="1"/>
        <v>#NAME?</v>
      </c>
      <c r="G94" s="7" t="e">
        <f ca="1"/>
        <v>#NAME?</v>
      </c>
      <c r="H94" s="7" t="e">
        <f ca="1"/>
        <v>#NAME?</v>
      </c>
      <c r="I94" s="18" t="e">
        <f ca="1"/>
        <v>#NAME?</v>
      </c>
      <c r="J94" s="7" t="e">
        <f ca="1"/>
        <v>#NAME?</v>
      </c>
      <c r="K94" s="7" t="e">
        <f ca="1"/>
        <v>#NAME?</v>
      </c>
      <c r="L94" s="7" t="e">
        <f ca="1"/>
        <v>#NAME?</v>
      </c>
      <c r="M94" s="7" t="e">
        <f ca="1"/>
        <v>#NAME?</v>
      </c>
      <c r="N94" s="7" t="e">
        <f ca="1"/>
        <v>#NAME?</v>
      </c>
      <c r="O94" s="7" t="e">
        <f ca="1"/>
        <v>#NAME?</v>
      </c>
    </row>
    <row r="95" spans="6:15" x14ac:dyDescent="0.3">
      <c r="F95" s="7" t="e">
        <f ca="1"/>
        <v>#NAME?</v>
      </c>
      <c r="G95" s="7" t="e">
        <f ca="1"/>
        <v>#NAME?</v>
      </c>
      <c r="H95" s="7" t="e">
        <f ca="1"/>
        <v>#NAME?</v>
      </c>
      <c r="I95" s="18" t="e">
        <f ca="1"/>
        <v>#NAME?</v>
      </c>
      <c r="J95" s="7" t="e">
        <f ca="1"/>
        <v>#NAME?</v>
      </c>
      <c r="K95" s="7" t="e">
        <f ca="1"/>
        <v>#NAME?</v>
      </c>
      <c r="L95" s="7" t="e">
        <f ca="1"/>
        <v>#NAME?</v>
      </c>
      <c r="M95" s="7" t="e">
        <f ca="1"/>
        <v>#NAME?</v>
      </c>
      <c r="N95" s="7" t="e">
        <f ca="1"/>
        <v>#NAME?</v>
      </c>
      <c r="O95" s="7" t="e">
        <f ca="1"/>
        <v>#NAME?</v>
      </c>
    </row>
    <row r="96" spans="6:15" x14ac:dyDescent="0.3">
      <c r="F96" s="7" t="e">
        <f ca="1"/>
        <v>#NAME?</v>
      </c>
      <c r="G96" s="7" t="e">
        <f ca="1"/>
        <v>#NAME?</v>
      </c>
      <c r="H96" s="7" t="e">
        <f ca="1"/>
        <v>#NAME?</v>
      </c>
      <c r="I96" s="18" t="e">
        <f ca="1"/>
        <v>#NAME?</v>
      </c>
      <c r="J96" s="7" t="e">
        <f ca="1"/>
        <v>#NAME?</v>
      </c>
      <c r="K96" s="7" t="e">
        <f ca="1"/>
        <v>#NAME?</v>
      </c>
      <c r="L96" s="7" t="e">
        <f ca="1"/>
        <v>#NAME?</v>
      </c>
      <c r="M96" s="7" t="e">
        <f ca="1"/>
        <v>#NAME?</v>
      </c>
      <c r="N96" s="7" t="e">
        <f ca="1"/>
        <v>#NAME?</v>
      </c>
      <c r="O96" s="7" t="e">
        <f ca="1"/>
        <v>#NAME?</v>
      </c>
    </row>
    <row r="97" spans="6:15" x14ac:dyDescent="0.3">
      <c r="F97" s="7" t="e">
        <f ca="1"/>
        <v>#NAME?</v>
      </c>
      <c r="G97" s="7" t="e">
        <f ca="1"/>
        <v>#NAME?</v>
      </c>
      <c r="H97" s="7" t="e">
        <f ca="1"/>
        <v>#NAME?</v>
      </c>
      <c r="I97" s="18" t="e">
        <f ca="1"/>
        <v>#NAME?</v>
      </c>
      <c r="J97" s="7" t="e">
        <f ca="1"/>
        <v>#NAME?</v>
      </c>
      <c r="K97" s="7" t="e">
        <f ca="1"/>
        <v>#NAME?</v>
      </c>
      <c r="L97" s="7" t="e">
        <f ca="1"/>
        <v>#NAME?</v>
      </c>
      <c r="M97" s="7" t="e">
        <f ca="1"/>
        <v>#NAME?</v>
      </c>
      <c r="N97" s="7" t="e">
        <f ca="1"/>
        <v>#NAME?</v>
      </c>
      <c r="O97" s="7" t="e">
        <f ca="1"/>
        <v>#NAME?</v>
      </c>
    </row>
    <row r="98" spans="6:15" x14ac:dyDescent="0.3">
      <c r="F98" s="7" t="e">
        <f ca="1"/>
        <v>#NAME?</v>
      </c>
      <c r="G98" s="7" t="e">
        <f ca="1"/>
        <v>#NAME?</v>
      </c>
      <c r="H98" s="7" t="e">
        <f ca="1"/>
        <v>#NAME?</v>
      </c>
      <c r="I98" s="18" t="e">
        <f ca="1"/>
        <v>#NAME?</v>
      </c>
      <c r="J98" s="7" t="e">
        <f ca="1"/>
        <v>#NAME?</v>
      </c>
      <c r="K98" s="7" t="e">
        <f ca="1"/>
        <v>#NAME?</v>
      </c>
      <c r="L98" s="7" t="e">
        <f ca="1"/>
        <v>#NAME?</v>
      </c>
      <c r="M98" s="7" t="e">
        <f ca="1"/>
        <v>#NAME?</v>
      </c>
      <c r="N98" s="7" t="e">
        <f ca="1"/>
        <v>#NAME?</v>
      </c>
      <c r="O98" s="7" t="e">
        <f ca="1"/>
        <v>#NAME?</v>
      </c>
    </row>
    <row r="99" spans="6:15" x14ac:dyDescent="0.3">
      <c r="F99" s="7" t="e">
        <f ca="1"/>
        <v>#NAME?</v>
      </c>
      <c r="G99" s="7" t="e">
        <f ca="1"/>
        <v>#NAME?</v>
      </c>
      <c r="H99" s="7" t="e">
        <f ca="1"/>
        <v>#NAME?</v>
      </c>
      <c r="I99" s="18" t="e">
        <f ca="1"/>
        <v>#NAME?</v>
      </c>
      <c r="J99" s="7" t="e">
        <f ca="1"/>
        <v>#NAME?</v>
      </c>
      <c r="K99" s="7" t="e">
        <f ca="1"/>
        <v>#NAME?</v>
      </c>
      <c r="L99" s="7" t="e">
        <f ca="1"/>
        <v>#NAME?</v>
      </c>
      <c r="M99" s="7" t="e">
        <f ca="1"/>
        <v>#NAME?</v>
      </c>
      <c r="N99" s="7" t="e">
        <f ca="1"/>
        <v>#NAME?</v>
      </c>
      <c r="O99" s="7" t="e">
        <f ca="1"/>
        <v>#NAME?</v>
      </c>
    </row>
    <row r="100" spans="6:15" x14ac:dyDescent="0.3">
      <c r="F100" s="7" t="e">
        <f ca="1"/>
        <v>#NAME?</v>
      </c>
      <c r="G100" s="7" t="e">
        <f ca="1"/>
        <v>#NAME?</v>
      </c>
      <c r="H100" s="7" t="e">
        <f ca="1"/>
        <v>#NAME?</v>
      </c>
      <c r="I100" s="18" t="e">
        <f ca="1"/>
        <v>#NAME?</v>
      </c>
      <c r="J100" s="7" t="e">
        <f ca="1"/>
        <v>#NAME?</v>
      </c>
      <c r="K100" s="7" t="e">
        <f ca="1"/>
        <v>#NAME?</v>
      </c>
      <c r="L100" s="7" t="e">
        <f ca="1"/>
        <v>#NAME?</v>
      </c>
      <c r="M100" s="7" t="e">
        <f ca="1"/>
        <v>#NAME?</v>
      </c>
      <c r="N100" s="7" t="e">
        <f ca="1"/>
        <v>#NAME?</v>
      </c>
      <c r="O100" s="7" t="e">
        <f ca="1"/>
        <v>#NAME?</v>
      </c>
    </row>
    <row r="101" spans="6:15" x14ac:dyDescent="0.3">
      <c r="F101" s="7" t="e">
        <f ca="1"/>
        <v>#NAME?</v>
      </c>
      <c r="G101" s="7" t="e">
        <f ca="1"/>
        <v>#NAME?</v>
      </c>
      <c r="H101" s="7" t="e">
        <f ca="1"/>
        <v>#NAME?</v>
      </c>
      <c r="I101" s="18" t="e">
        <f ca="1"/>
        <v>#NAME?</v>
      </c>
      <c r="J101" s="7" t="e">
        <f ca="1"/>
        <v>#NAME?</v>
      </c>
      <c r="K101" s="7" t="e">
        <f ca="1"/>
        <v>#NAME?</v>
      </c>
      <c r="L101" s="7" t="e">
        <f ca="1"/>
        <v>#NAME?</v>
      </c>
      <c r="M101" s="7" t="e">
        <f ca="1"/>
        <v>#NAME?</v>
      </c>
      <c r="N101" s="7" t="e">
        <f ca="1"/>
        <v>#NAME?</v>
      </c>
      <c r="O101" s="7" t="e">
        <f ca="1"/>
        <v>#NAME?</v>
      </c>
    </row>
    <row r="102" spans="6:15" x14ac:dyDescent="0.3">
      <c r="F102" s="7" t="e">
        <f ca="1"/>
        <v>#NAME?</v>
      </c>
      <c r="G102" s="7" t="e">
        <f ca="1"/>
        <v>#NAME?</v>
      </c>
      <c r="H102" s="7" t="e">
        <f ca="1"/>
        <v>#NAME?</v>
      </c>
      <c r="I102" s="18" t="e">
        <f ca="1"/>
        <v>#NAME?</v>
      </c>
      <c r="J102" s="7" t="e">
        <f ca="1"/>
        <v>#NAME?</v>
      </c>
      <c r="K102" s="7" t="e">
        <f ca="1"/>
        <v>#NAME?</v>
      </c>
      <c r="L102" s="7" t="e">
        <f ca="1"/>
        <v>#NAME?</v>
      </c>
      <c r="M102" s="7" t="e">
        <f ca="1"/>
        <v>#NAME?</v>
      </c>
      <c r="N102" s="7" t="e">
        <f ca="1"/>
        <v>#NAME?</v>
      </c>
      <c r="O102" s="7" t="e">
        <f ca="1"/>
        <v>#NAME?</v>
      </c>
    </row>
    <row r="103" spans="6:15" x14ac:dyDescent="0.3">
      <c r="F103" s="7" t="e">
        <f ca="1"/>
        <v>#NAME?</v>
      </c>
      <c r="G103" s="7" t="e">
        <f ca="1"/>
        <v>#NAME?</v>
      </c>
      <c r="H103" s="7" t="e">
        <f ca="1"/>
        <v>#NAME?</v>
      </c>
      <c r="I103" s="18" t="e">
        <f ca="1"/>
        <v>#NAME?</v>
      </c>
      <c r="J103" s="7" t="e">
        <f ca="1"/>
        <v>#NAME?</v>
      </c>
      <c r="K103" s="7" t="e">
        <f ca="1"/>
        <v>#NAME?</v>
      </c>
      <c r="L103" s="7" t="e">
        <f ca="1"/>
        <v>#NAME?</v>
      </c>
      <c r="M103" s="7" t="e">
        <f ca="1"/>
        <v>#NAME?</v>
      </c>
      <c r="N103" s="7" t="e">
        <f ca="1"/>
        <v>#NAME?</v>
      </c>
      <c r="O103" s="7" t="e">
        <f ca="1"/>
        <v>#NAME?</v>
      </c>
    </row>
    <row r="104" spans="6:15" x14ac:dyDescent="0.3">
      <c r="F104" s="7" t="e">
        <f ca="1"/>
        <v>#NAME?</v>
      </c>
      <c r="G104" s="7" t="e">
        <f ca="1"/>
        <v>#NAME?</v>
      </c>
      <c r="H104" s="7" t="e">
        <f ca="1"/>
        <v>#NAME?</v>
      </c>
      <c r="I104" s="18" t="e">
        <f ca="1"/>
        <v>#NAME?</v>
      </c>
      <c r="J104" s="7" t="e">
        <f ca="1"/>
        <v>#NAME?</v>
      </c>
      <c r="K104" s="7" t="e">
        <f ca="1"/>
        <v>#NAME?</v>
      </c>
      <c r="L104" s="7" t="e">
        <f ca="1"/>
        <v>#NAME?</v>
      </c>
      <c r="M104" s="7" t="e">
        <f ca="1"/>
        <v>#NAME?</v>
      </c>
      <c r="N104" s="7" t="e">
        <f ca="1"/>
        <v>#NAME?</v>
      </c>
      <c r="O104" s="7" t="e">
        <f ca="1"/>
        <v>#NAME?</v>
      </c>
    </row>
    <row r="105" spans="6:15" x14ac:dyDescent="0.3">
      <c r="F105" s="7" t="e">
        <f ca="1"/>
        <v>#NAME?</v>
      </c>
      <c r="G105" s="7" t="e">
        <f ca="1"/>
        <v>#NAME?</v>
      </c>
      <c r="H105" s="7" t="e">
        <f ca="1"/>
        <v>#NAME?</v>
      </c>
      <c r="I105" s="18" t="e">
        <f ca="1"/>
        <v>#NAME?</v>
      </c>
      <c r="J105" s="7" t="e">
        <f ca="1"/>
        <v>#NAME?</v>
      </c>
      <c r="K105" s="7" t="e">
        <f ca="1"/>
        <v>#NAME?</v>
      </c>
      <c r="L105" s="7" t="e">
        <f ca="1"/>
        <v>#NAME?</v>
      </c>
      <c r="M105" s="7" t="e">
        <f ca="1"/>
        <v>#NAME?</v>
      </c>
      <c r="N105" s="7" t="e">
        <f ca="1"/>
        <v>#NAME?</v>
      </c>
      <c r="O105" s="7" t="e">
        <f ca="1"/>
        <v>#NAME?</v>
      </c>
    </row>
    <row r="106" spans="6:15" x14ac:dyDescent="0.3">
      <c r="F106" s="7" t="e">
        <f ca="1"/>
        <v>#NAME?</v>
      </c>
      <c r="G106" s="7" t="e">
        <f ca="1"/>
        <v>#NAME?</v>
      </c>
      <c r="H106" s="7" t="e">
        <f ca="1"/>
        <v>#NAME?</v>
      </c>
      <c r="I106" s="18" t="e">
        <f ca="1"/>
        <v>#NAME?</v>
      </c>
      <c r="J106" s="7" t="e">
        <f ca="1"/>
        <v>#NAME?</v>
      </c>
      <c r="K106" s="7" t="e">
        <f ca="1"/>
        <v>#NAME?</v>
      </c>
      <c r="L106" s="7" t="e">
        <f ca="1"/>
        <v>#NAME?</v>
      </c>
      <c r="M106" s="7" t="e">
        <f ca="1"/>
        <v>#NAME?</v>
      </c>
      <c r="N106" s="7" t="e">
        <f ca="1"/>
        <v>#NAME?</v>
      </c>
      <c r="O106" s="7" t="e">
        <f ca="1"/>
        <v>#NAME?</v>
      </c>
    </row>
    <row r="107" spans="6:15" x14ac:dyDescent="0.3">
      <c r="F107" s="7" t="e">
        <f ca="1"/>
        <v>#NAME?</v>
      </c>
      <c r="G107" s="7" t="e">
        <f ca="1"/>
        <v>#NAME?</v>
      </c>
      <c r="H107" s="7" t="e">
        <f ca="1"/>
        <v>#NAME?</v>
      </c>
      <c r="I107" s="18" t="e">
        <f ca="1"/>
        <v>#NAME?</v>
      </c>
      <c r="J107" s="7" t="e">
        <f ca="1"/>
        <v>#NAME?</v>
      </c>
      <c r="K107" s="7" t="e">
        <f ca="1"/>
        <v>#NAME?</v>
      </c>
      <c r="L107" s="7" t="e">
        <f ca="1"/>
        <v>#NAME?</v>
      </c>
      <c r="M107" s="7" t="e">
        <f ca="1"/>
        <v>#NAME?</v>
      </c>
      <c r="N107" s="7" t="e">
        <f ca="1"/>
        <v>#NAME?</v>
      </c>
      <c r="O107" s="7" t="e">
        <f ca="1"/>
        <v>#NAME?</v>
      </c>
    </row>
    <row r="108" spans="6:15" x14ac:dyDescent="0.3">
      <c r="F108" s="7" t="e">
        <f ca="1"/>
        <v>#NAME?</v>
      </c>
      <c r="G108" s="7" t="e">
        <f ca="1"/>
        <v>#NAME?</v>
      </c>
      <c r="H108" s="7" t="e">
        <f ca="1"/>
        <v>#NAME?</v>
      </c>
      <c r="I108" s="18" t="e">
        <f ca="1"/>
        <v>#NAME?</v>
      </c>
      <c r="J108" s="7" t="e">
        <f ca="1"/>
        <v>#NAME?</v>
      </c>
      <c r="K108" s="7" t="e">
        <f ca="1"/>
        <v>#NAME?</v>
      </c>
      <c r="L108" s="7" t="e">
        <f ca="1"/>
        <v>#NAME?</v>
      </c>
      <c r="M108" s="7" t="e">
        <f ca="1"/>
        <v>#NAME?</v>
      </c>
      <c r="N108" s="7" t="e">
        <f ca="1"/>
        <v>#NAME?</v>
      </c>
      <c r="O108" s="7" t="e">
        <f ca="1"/>
        <v>#NAME?</v>
      </c>
    </row>
    <row r="109" spans="6:15" x14ac:dyDescent="0.3">
      <c r="F109" s="7" t="e">
        <f ca="1"/>
        <v>#NAME?</v>
      </c>
      <c r="G109" s="7" t="e">
        <f ca="1"/>
        <v>#NAME?</v>
      </c>
      <c r="H109" s="7" t="e">
        <f ca="1"/>
        <v>#NAME?</v>
      </c>
      <c r="I109" s="18" t="e">
        <f ca="1"/>
        <v>#NAME?</v>
      </c>
      <c r="J109" s="7" t="e">
        <f ca="1"/>
        <v>#NAME?</v>
      </c>
      <c r="K109" s="7" t="e">
        <f ca="1"/>
        <v>#NAME?</v>
      </c>
      <c r="L109" s="7" t="e">
        <f ca="1"/>
        <v>#NAME?</v>
      </c>
      <c r="M109" s="7" t="e">
        <f ca="1"/>
        <v>#NAME?</v>
      </c>
      <c r="N109" s="7" t="e">
        <f ca="1"/>
        <v>#NAME?</v>
      </c>
      <c r="O109" s="7" t="e">
        <f ca="1"/>
        <v>#NAME?</v>
      </c>
    </row>
    <row r="110" spans="6:15" x14ac:dyDescent="0.3">
      <c r="F110" s="7" t="e">
        <f ca="1"/>
        <v>#NAME?</v>
      </c>
      <c r="G110" s="7" t="e">
        <f ca="1"/>
        <v>#NAME?</v>
      </c>
      <c r="H110" s="7" t="e">
        <f ca="1"/>
        <v>#NAME?</v>
      </c>
      <c r="I110" s="18" t="e">
        <f ca="1"/>
        <v>#NAME?</v>
      </c>
      <c r="J110" s="7" t="e">
        <f ca="1"/>
        <v>#NAME?</v>
      </c>
      <c r="K110" s="7" t="e">
        <f ca="1"/>
        <v>#NAME?</v>
      </c>
      <c r="L110" s="7" t="e">
        <f ca="1"/>
        <v>#NAME?</v>
      </c>
      <c r="M110" s="7" t="e">
        <f ca="1"/>
        <v>#NAME?</v>
      </c>
      <c r="N110" s="7" t="e">
        <f ca="1"/>
        <v>#NAME?</v>
      </c>
      <c r="O110" s="7" t="e">
        <f ca="1"/>
        <v>#NAME?</v>
      </c>
    </row>
    <row r="111" spans="6:15" x14ac:dyDescent="0.3">
      <c r="F111" s="7" t="e">
        <f ca="1"/>
        <v>#NAME?</v>
      </c>
      <c r="G111" s="7" t="e">
        <f ca="1"/>
        <v>#NAME?</v>
      </c>
      <c r="H111" s="7" t="e">
        <f ca="1"/>
        <v>#NAME?</v>
      </c>
      <c r="I111" s="18" t="e">
        <f ca="1"/>
        <v>#NAME?</v>
      </c>
      <c r="J111" s="7" t="e">
        <f ca="1"/>
        <v>#NAME?</v>
      </c>
      <c r="K111" s="7" t="e">
        <f ca="1"/>
        <v>#NAME?</v>
      </c>
      <c r="L111" s="7" t="e">
        <f ca="1"/>
        <v>#NAME?</v>
      </c>
      <c r="M111" s="7" t="e">
        <f ca="1"/>
        <v>#NAME?</v>
      </c>
      <c r="N111" s="7" t="e">
        <f ca="1"/>
        <v>#NAME?</v>
      </c>
      <c r="O111" s="7" t="e">
        <f ca="1"/>
        <v>#NAME?</v>
      </c>
    </row>
    <row r="112" spans="6:15" x14ac:dyDescent="0.3">
      <c r="F112" s="7" t="e">
        <f ca="1"/>
        <v>#NAME?</v>
      </c>
      <c r="G112" s="7" t="e">
        <f ca="1"/>
        <v>#NAME?</v>
      </c>
      <c r="H112" s="7" t="e">
        <f ca="1"/>
        <v>#NAME?</v>
      </c>
      <c r="I112" s="18" t="e">
        <f ca="1"/>
        <v>#NAME?</v>
      </c>
      <c r="J112" s="7" t="e">
        <f ca="1"/>
        <v>#NAME?</v>
      </c>
      <c r="K112" s="7" t="e">
        <f ca="1"/>
        <v>#NAME?</v>
      </c>
      <c r="L112" s="7" t="e">
        <f ca="1"/>
        <v>#NAME?</v>
      </c>
      <c r="M112" s="7" t="e">
        <f ca="1"/>
        <v>#NAME?</v>
      </c>
      <c r="N112" s="7" t="e">
        <f ca="1"/>
        <v>#NAME?</v>
      </c>
      <c r="O112" s="7" t="e">
        <f ca="1"/>
        <v>#NAME?</v>
      </c>
    </row>
    <row r="113" spans="6:15" x14ac:dyDescent="0.3">
      <c r="F113" s="7" t="e">
        <f ca="1"/>
        <v>#NAME?</v>
      </c>
      <c r="G113" s="7" t="e">
        <f ca="1"/>
        <v>#NAME?</v>
      </c>
      <c r="H113" s="7" t="e">
        <f ca="1"/>
        <v>#NAME?</v>
      </c>
      <c r="I113" s="18" t="e">
        <f ca="1"/>
        <v>#NAME?</v>
      </c>
      <c r="J113" s="7" t="e">
        <f ca="1"/>
        <v>#NAME?</v>
      </c>
      <c r="K113" s="7" t="e">
        <f ca="1"/>
        <v>#NAME?</v>
      </c>
      <c r="L113" s="7" t="e">
        <f ca="1"/>
        <v>#NAME?</v>
      </c>
      <c r="M113" s="7" t="e">
        <f ca="1"/>
        <v>#NAME?</v>
      </c>
      <c r="N113" s="7" t="e">
        <f ca="1"/>
        <v>#NAME?</v>
      </c>
      <c r="O113" s="7" t="e">
        <f ca="1"/>
        <v>#NAME?</v>
      </c>
    </row>
    <row r="114" spans="6:15" x14ac:dyDescent="0.3">
      <c r="F114" s="7" t="e">
        <f ca="1"/>
        <v>#NAME?</v>
      </c>
      <c r="G114" s="7" t="e">
        <f ca="1"/>
        <v>#NAME?</v>
      </c>
      <c r="H114" s="7" t="e">
        <f ca="1"/>
        <v>#NAME?</v>
      </c>
      <c r="I114" s="18" t="e">
        <f ca="1"/>
        <v>#NAME?</v>
      </c>
      <c r="J114" s="7" t="e">
        <f ca="1"/>
        <v>#NAME?</v>
      </c>
      <c r="K114" s="7" t="e">
        <f ca="1"/>
        <v>#NAME?</v>
      </c>
      <c r="L114" s="7" t="e">
        <f ca="1"/>
        <v>#NAME?</v>
      </c>
      <c r="M114" s="7" t="e">
        <f ca="1"/>
        <v>#NAME?</v>
      </c>
      <c r="N114" s="7" t="e">
        <f ca="1"/>
        <v>#NAME?</v>
      </c>
      <c r="O114" s="7" t="e">
        <f ca="1"/>
        <v>#NAME?</v>
      </c>
    </row>
    <row r="115" spans="6:15" x14ac:dyDescent="0.3">
      <c r="F115" s="19" t="e">
        <f ca="1"/>
        <v>#NAME?</v>
      </c>
      <c r="G115" s="19" t="e">
        <f ca="1"/>
        <v>#NAME?</v>
      </c>
      <c r="H115" s="19" t="e">
        <f ca="1"/>
        <v>#NAME?</v>
      </c>
      <c r="I115" s="20" t="e">
        <f ca="1"/>
        <v>#NAME?</v>
      </c>
      <c r="J115" s="19" t="e">
        <f ca="1"/>
        <v>#NAME?</v>
      </c>
      <c r="K115" s="19" t="e">
        <f ca="1"/>
        <v>#NAME?</v>
      </c>
      <c r="L115" s="19" t="e">
        <f ca="1"/>
        <v>#NAME?</v>
      </c>
      <c r="M115" s="19" t="e">
        <f ca="1"/>
        <v>#NAME?</v>
      </c>
      <c r="N115" s="19" t="e">
        <f ca="1"/>
        <v>#NAME?</v>
      </c>
      <c r="O115" s="19" t="e">
        <f ca="1"/>
        <v>#NAME?</v>
      </c>
    </row>
    <row r="116" spans="6:15" x14ac:dyDescent="0.3">
      <c r="F116" s="19" t="e">
        <f ca="1"/>
        <v>#NAME?</v>
      </c>
      <c r="G116" s="19" t="e">
        <f ca="1"/>
        <v>#NAME?</v>
      </c>
      <c r="H116" s="19" t="e">
        <f ca="1"/>
        <v>#NAME?</v>
      </c>
      <c r="I116" s="20" t="e">
        <f ca="1"/>
        <v>#NAME?</v>
      </c>
      <c r="J116" s="19" t="e">
        <f ca="1"/>
        <v>#NAME?</v>
      </c>
      <c r="K116" s="19" t="e">
        <f ca="1"/>
        <v>#NAME?</v>
      </c>
      <c r="L116" s="19" t="e">
        <f ca="1"/>
        <v>#NAME?</v>
      </c>
      <c r="M116" s="19" t="e">
        <f ca="1"/>
        <v>#NAME?</v>
      </c>
      <c r="N116" s="19" t="e">
        <f ca="1"/>
        <v>#NAME?</v>
      </c>
      <c r="O116" s="19" t="e">
        <f ca="1"/>
        <v>#NAME?</v>
      </c>
    </row>
  </sheetData>
  <conditionalFormatting sqref="O11">
    <cfRule type="containsText" dxfId="11" priority="7" operator="containsText" text="Habis">
      <formula>NOT(ISERROR(SEARCH("Habis",O11)))</formula>
    </cfRule>
    <cfRule type="containsText" dxfId="10" priority="8" operator="containsText" text="Menipis">
      <formula>NOT(ISERROR(SEARCH("Menipis",O11)))</formula>
    </cfRule>
    <cfRule type="containsText" dxfId="9" priority="9" operator="containsText" text="Aman">
      <formula>NOT(ISERROR(SEARCH("Aman",O11)))</formula>
    </cfRule>
  </conditionalFormatting>
  <conditionalFormatting sqref="F11:O93">
    <cfRule type="notContainsBlanks" dxfId="8" priority="6">
      <formula>LEN(TRIM(F11))&gt;0</formula>
    </cfRule>
  </conditionalFormatting>
  <conditionalFormatting sqref="F11:O114">
    <cfRule type="notContainsBlanks" dxfId="7" priority="5">
      <formula>LEN(TRIM(F11))&gt;0</formula>
    </cfRule>
  </conditionalFormatting>
  <conditionalFormatting sqref="O1:O1048576">
    <cfRule type="containsText" dxfId="6" priority="2" operator="containsText" text="Menipis">
      <formula>NOT(ISERROR(SEARCH("Menipis",O1)))</formula>
    </cfRule>
    <cfRule type="containsText" dxfId="5" priority="3" operator="containsText" text="Habis">
      <formula>NOT(ISERROR(SEARCH("Habis",O1)))</formula>
    </cfRule>
    <cfRule type="containsText" dxfId="4" priority="4" operator="containsText" text="Aman">
      <formula>NOT(ISERROR(SEARCH("Aman",O1)))</formula>
    </cfRule>
  </conditionalFormatting>
  <conditionalFormatting sqref="F11:O1048576">
    <cfRule type="notContainsBlanks" dxfId="3" priority="1">
      <formula>LEN(TRIM(F11))&gt;0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5121" r:id="rId4" name="TxtBoxSearch">
          <controlPr defaultSize="0" autoLine="0" linkedCell="H3" r:id="rId5">
            <anchor moveWithCells="1">
              <from>
                <xdr:col>7</xdr:col>
                <xdr:colOff>411480</xdr:colOff>
                <xdr:row>6</xdr:row>
                <xdr:rowOff>83820</xdr:rowOff>
              </from>
              <to>
                <xdr:col>13</xdr:col>
                <xdr:colOff>175260</xdr:colOff>
                <xdr:row>8</xdr:row>
                <xdr:rowOff>0</xdr:rowOff>
              </to>
            </anchor>
          </controlPr>
        </control>
      </mc:Choice>
      <mc:Fallback>
        <control shapeId="5121" r:id="rId4" name="TxtBoxSearch"/>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AE6A8-471E-40C1-8ECB-6E570A83FF33}">
  <sheetPr codeName="Sheet6"/>
  <dimension ref="A1:AE169"/>
  <sheetViews>
    <sheetView zoomScale="93" workbookViewId="0">
      <selection activeCell="AB17" sqref="AB17"/>
    </sheetView>
  </sheetViews>
  <sheetFormatPr defaultRowHeight="14.4" x14ac:dyDescent="0.3"/>
  <cols>
    <col min="1" max="1" width="14.88671875" bestFit="1" customWidth="1"/>
    <col min="2" max="2" width="12" bestFit="1" customWidth="1"/>
    <col min="3" max="3" width="14.77734375" bestFit="1" customWidth="1"/>
    <col min="4" max="4" width="10.88671875" customWidth="1"/>
    <col min="5" max="5" width="15.21875" bestFit="1" customWidth="1"/>
    <col min="6" max="6" width="14" customWidth="1"/>
    <col min="7" max="7" width="14.6640625" customWidth="1"/>
    <col min="8" max="8" width="14.5546875" customWidth="1"/>
    <col min="9" max="9" width="17.33203125" bestFit="1" customWidth="1"/>
    <col min="11" max="11" width="11.5546875" customWidth="1"/>
    <col min="12" max="12" width="13.33203125" customWidth="1"/>
    <col min="13" max="13" width="16.88671875" customWidth="1"/>
    <col min="14" max="14" width="11.5546875" bestFit="1" customWidth="1"/>
    <col min="16" max="16" width="16.88671875" bestFit="1" customWidth="1"/>
    <col min="17" max="17" width="13.21875" bestFit="1" customWidth="1"/>
    <col min="18" max="18" width="17.21875" bestFit="1" customWidth="1"/>
    <col min="19" max="19" width="14.109375" bestFit="1" customWidth="1"/>
    <col min="20" max="20" width="5.77734375" bestFit="1" customWidth="1"/>
    <col min="21" max="21" width="12.6640625" bestFit="1" customWidth="1"/>
    <col min="22" max="22" width="16.88671875" bestFit="1" customWidth="1"/>
    <col min="23" max="23" width="5.77734375" bestFit="1" customWidth="1"/>
    <col min="24" max="24" width="14.33203125" bestFit="1" customWidth="1"/>
    <col min="25" max="25" width="17.33203125" bestFit="1" customWidth="1"/>
    <col min="26" max="26" width="12.6640625" bestFit="1" customWidth="1"/>
    <col min="27" max="27" width="19.6640625" bestFit="1" customWidth="1"/>
    <col min="28" max="28" width="15.6640625" bestFit="1" customWidth="1"/>
    <col min="29" max="29" width="5.77734375" bestFit="1" customWidth="1"/>
    <col min="30" max="30" width="7.88671875" bestFit="1" customWidth="1"/>
    <col min="31" max="31" width="10.88671875" bestFit="1" customWidth="1"/>
    <col min="32" max="32" width="14.109375" bestFit="1" customWidth="1"/>
    <col min="33" max="33" width="17.88671875" bestFit="1" customWidth="1"/>
  </cols>
  <sheetData>
    <row r="1" spans="1:31" ht="15.6" x14ac:dyDescent="0.3">
      <c r="A1" t="s">
        <v>184</v>
      </c>
      <c r="B1" s="3" t="s">
        <v>182</v>
      </c>
      <c r="C1" s="3" t="s">
        <v>183</v>
      </c>
      <c r="D1" s="3" t="s">
        <v>181</v>
      </c>
      <c r="E1" t="s">
        <v>207</v>
      </c>
      <c r="G1" s="5" t="s">
        <v>7</v>
      </c>
      <c r="H1" s="5" t="s">
        <v>8</v>
      </c>
      <c r="I1" s="5" t="s">
        <v>9</v>
      </c>
      <c r="J1" s="5" t="s">
        <v>174</v>
      </c>
      <c r="K1" s="5" t="s">
        <v>10</v>
      </c>
      <c r="L1" s="5" t="s">
        <v>11</v>
      </c>
      <c r="N1" s="8"/>
      <c r="Q1" s="10" t="s">
        <v>20</v>
      </c>
      <c r="R1" t="s" vm="1">
        <v>213</v>
      </c>
      <c r="AA1" s="10" t="s">
        <v>214</v>
      </c>
      <c r="AB1" s="10" t="s">
        <v>218</v>
      </c>
    </row>
    <row r="2" spans="1:31" ht="15.6" x14ac:dyDescent="0.3">
      <c r="A2">
        <f>COUNTA(Table_Barang[Nama Barang])</f>
        <v>105</v>
      </c>
      <c r="B2" s="3">
        <f>COUNTIF(TblStokAkhir[Status],"Aman")</f>
        <v>96</v>
      </c>
      <c r="C2" s="3">
        <f>COUNTIF(TblStokAkhir[Status],"Menipis")</f>
        <v>5</v>
      </c>
      <c r="D2" s="3">
        <f>COUNTIF(TblStokAkhir[Status],"Habis")</f>
        <v>4</v>
      </c>
      <c r="E2" s="4">
        <f>SUMIF(TblTransaksi[Jenis Transaksi],"Keluar",TblTransaksi[Total Harga])</f>
        <v>160845200</v>
      </c>
      <c r="G2" s="2" t="s">
        <v>12</v>
      </c>
      <c r="H2" s="2" t="s">
        <v>13</v>
      </c>
      <c r="I2" s="2" t="s">
        <v>14</v>
      </c>
      <c r="J2" s="2" t="s">
        <v>13</v>
      </c>
      <c r="K2" s="2" t="s">
        <v>15</v>
      </c>
      <c r="L2" s="2" t="s">
        <v>12</v>
      </c>
      <c r="X2" s="10" t="s">
        <v>20</v>
      </c>
      <c r="Y2" t="s">
        <v>187</v>
      </c>
      <c r="AA2" s="10" t="s">
        <v>217</v>
      </c>
      <c r="AB2" t="s">
        <v>182</v>
      </c>
      <c r="AC2" t="s">
        <v>181</v>
      </c>
      <c r="AD2" t="s">
        <v>188</v>
      </c>
      <c r="AE2" t="s">
        <v>219</v>
      </c>
    </row>
    <row r="3" spans="1:31" ht="15.6" x14ac:dyDescent="0.3">
      <c r="G3" s="2" t="s">
        <v>15</v>
      </c>
      <c r="H3" s="2" t="s">
        <v>16</v>
      </c>
      <c r="I3" s="2" t="s">
        <v>15</v>
      </c>
      <c r="J3" s="2" t="s">
        <v>16</v>
      </c>
      <c r="K3" s="2" t="s">
        <v>17</v>
      </c>
      <c r="L3" s="2" t="s">
        <v>13</v>
      </c>
      <c r="Q3" s="10" t="s">
        <v>217</v>
      </c>
      <c r="R3" t="s">
        <v>202</v>
      </c>
      <c r="AA3" s="11" t="s">
        <v>10</v>
      </c>
      <c r="AB3" s="58">
        <v>15</v>
      </c>
      <c r="AC3" s="58"/>
      <c r="AD3" s="58">
        <v>2</v>
      </c>
      <c r="AE3" s="58">
        <v>17</v>
      </c>
    </row>
    <row r="4" spans="1:31" ht="15.6" x14ac:dyDescent="0.3">
      <c r="G4" s="2" t="s">
        <v>17</v>
      </c>
      <c r="H4" s="2" t="s">
        <v>12</v>
      </c>
      <c r="I4" s="2" t="s">
        <v>12</v>
      </c>
      <c r="J4" s="2" t="s">
        <v>15</v>
      </c>
      <c r="K4" s="2" t="s">
        <v>16</v>
      </c>
      <c r="L4" s="2" t="s">
        <v>18</v>
      </c>
      <c r="Q4" s="11" t="s">
        <v>10</v>
      </c>
      <c r="R4" s="12">
        <v>0.27744186653495051</v>
      </c>
      <c r="X4" s="10" t="s">
        <v>217</v>
      </c>
      <c r="Y4" t="s">
        <v>199</v>
      </c>
      <c r="AA4" s="11" t="s">
        <v>7</v>
      </c>
      <c r="AB4" s="58">
        <v>25</v>
      </c>
      <c r="AC4" s="58"/>
      <c r="AD4" s="58">
        <v>1</v>
      </c>
      <c r="AE4" s="58">
        <v>26</v>
      </c>
    </row>
    <row r="5" spans="1:31" x14ac:dyDescent="0.3">
      <c r="Q5" s="11" t="s">
        <v>7</v>
      </c>
      <c r="R5" s="12">
        <v>0.15982363100300448</v>
      </c>
      <c r="X5" s="11" t="s">
        <v>192</v>
      </c>
      <c r="Y5" s="58">
        <v>280</v>
      </c>
      <c r="AA5" s="11" t="s">
        <v>8</v>
      </c>
      <c r="AB5" s="58">
        <v>13</v>
      </c>
      <c r="AC5" s="58"/>
      <c r="AD5" s="58">
        <v>1</v>
      </c>
      <c r="AE5" s="58">
        <v>14</v>
      </c>
    </row>
    <row r="6" spans="1:31" x14ac:dyDescent="0.3">
      <c r="Q6" s="11" t="s">
        <v>8</v>
      </c>
      <c r="R6" s="12">
        <v>0.10402491050802486</v>
      </c>
      <c r="X6" s="11" t="s">
        <v>64</v>
      </c>
      <c r="Y6" s="58">
        <v>250</v>
      </c>
      <c r="AA6" s="11" t="s">
        <v>9</v>
      </c>
      <c r="AB6" s="58">
        <v>12</v>
      </c>
      <c r="AC6" s="58">
        <v>1</v>
      </c>
      <c r="AD6" s="58"/>
      <c r="AE6" s="58">
        <v>13</v>
      </c>
    </row>
    <row r="7" spans="1:31" x14ac:dyDescent="0.3">
      <c r="Q7" s="11" t="s">
        <v>9</v>
      </c>
      <c r="R7" s="12">
        <v>0.13430321343780671</v>
      </c>
      <c r="X7" s="11" t="s">
        <v>171</v>
      </c>
      <c r="Y7" s="58">
        <v>167</v>
      </c>
      <c r="AA7" s="11" t="s">
        <v>11</v>
      </c>
      <c r="AB7" s="58">
        <v>12</v>
      </c>
      <c r="AC7" s="58">
        <v>2</v>
      </c>
      <c r="AD7" s="58"/>
      <c r="AE7" s="58">
        <v>14</v>
      </c>
    </row>
    <row r="8" spans="1:31" x14ac:dyDescent="0.3">
      <c r="Q8" s="11" t="s">
        <v>11</v>
      </c>
      <c r="R8" s="12">
        <v>0.21456184266057463</v>
      </c>
      <c r="X8" s="11" t="s">
        <v>169</v>
      </c>
      <c r="Y8" s="58">
        <v>150</v>
      </c>
      <c r="AA8" s="11" t="s">
        <v>174</v>
      </c>
      <c r="AB8" s="58">
        <v>19</v>
      </c>
      <c r="AC8" s="58">
        <v>1</v>
      </c>
      <c r="AD8" s="58">
        <v>1</v>
      </c>
      <c r="AE8" s="58">
        <v>21</v>
      </c>
    </row>
    <row r="9" spans="1:31" x14ac:dyDescent="0.3">
      <c r="Q9" s="11" t="s">
        <v>174</v>
      </c>
      <c r="R9" s="12">
        <v>0.10984453585563882</v>
      </c>
      <c r="X9" s="11" t="s">
        <v>74</v>
      </c>
      <c r="Y9" s="58">
        <v>135</v>
      </c>
      <c r="AA9" s="11" t="s">
        <v>219</v>
      </c>
      <c r="AB9" s="58">
        <v>96</v>
      </c>
      <c r="AC9" s="58">
        <v>4</v>
      </c>
      <c r="AD9" s="58">
        <v>5</v>
      </c>
      <c r="AE9" s="58">
        <v>105</v>
      </c>
    </row>
    <row r="10" spans="1:31" x14ac:dyDescent="0.3">
      <c r="A10" t="s">
        <v>10</v>
      </c>
      <c r="Q10" s="11" t="s">
        <v>219</v>
      </c>
      <c r="R10" s="12">
        <v>1</v>
      </c>
      <c r="X10" s="11" t="s">
        <v>72</v>
      </c>
      <c r="Y10" s="58">
        <v>100</v>
      </c>
    </row>
    <row r="11" spans="1:31" ht="15.6" x14ac:dyDescent="0.3">
      <c r="A11">
        <f>COUNTIF(Table_Barang[Kategori],"Arsip")</f>
        <v>17</v>
      </c>
      <c r="F11" s="7" t="s">
        <v>0</v>
      </c>
      <c r="G11" s="7" t="s">
        <v>1</v>
      </c>
      <c r="H11" s="7" t="s">
        <v>2</v>
      </c>
      <c r="I11" s="7" t="s">
        <v>3</v>
      </c>
      <c r="J11" s="7" t="s">
        <v>186</v>
      </c>
      <c r="K11" s="7" t="s">
        <v>187</v>
      </c>
      <c r="L11" s="7" t="s">
        <v>4</v>
      </c>
      <c r="M11" s="6" t="s">
        <v>179</v>
      </c>
      <c r="N11" s="1" t="s">
        <v>5</v>
      </c>
      <c r="O11" s="1" t="s">
        <v>180</v>
      </c>
      <c r="X11" s="11" t="s">
        <v>53</v>
      </c>
      <c r="Y11" s="58">
        <v>96</v>
      </c>
    </row>
    <row r="12" spans="1:31" x14ac:dyDescent="0.3">
      <c r="F12" t="str">
        <f>Table_Barang[[#This Row],[Kode Barang]]</f>
        <v>ARS001</v>
      </c>
      <c r="G12" t="str">
        <f>IF(TblGabungan[[#This Row],[Kode Barang]]="","",VLOOKUP(TblGabungan[[#This Row],[Kode Barang]],Table_Barang[#All],2,0))</f>
        <v>Map Kertas</v>
      </c>
      <c r="H12" t="str">
        <f>VLOOKUP(TblGabungan[[#This Row],[Kode Barang]],Table_Barang[#All],4,0)</f>
        <v>Pack</v>
      </c>
      <c r="I12" s="9">
        <f>IF(TblGabungan[[#This Row],[Kode Barang]]="","",VLOOKUP(TblGabungan[[#This Row],[Kode Barang]],Table_Barang[#All],5,0))</f>
        <v>20000</v>
      </c>
      <c r="J12">
        <f>IF(TblGabungan[[#This Row],[Kode Barang]]="","",VLOOKUP(TblGabungan[[#This Row],[Kode Barang]],TblStokAkhir[#All],3,0))</f>
        <v>0</v>
      </c>
      <c r="K12">
        <f>IF(TblGabungan[[#This Row],[Kode Barang]]="","",VLOOKUP(TblGabungan[[#This Row],[Kode Barang]],TblStokAkhir[#All],4,0))</f>
        <v>0</v>
      </c>
      <c r="L12">
        <f>IF(TblGabungan[[#This Row],[Kode Barang]]="","",VLOOKUP(TblGabungan[[#This Row],[Kode Barang]],TblStokAkhir[#All],5,0))</f>
        <v>255</v>
      </c>
      <c r="M12">
        <f>IF(TblGabungan[[#This Row],[Kode Barang]]="","",VLOOKUP(TblGabungan[[#This Row],[Kode Barang]],TblStokAkhir[#All],5,0))</f>
        <v>255</v>
      </c>
      <c r="N12">
        <f>IF(TblGabungan[[#This Row],[Kode Barang]]="","",VLOOKUP(TblGabungan[[#This Row],[Kode Barang]],TblStokAkhir[#All],7,0))</f>
        <v>10</v>
      </c>
      <c r="O12" t="str">
        <f>IF(TblGabungan[[#This Row],[Kode Barang]]="","",VLOOKUP(TblGabungan[[#This Row],[Kode Barang]],TblStokAkhir[#All],8,0))</f>
        <v>Aman</v>
      </c>
      <c r="X12" s="11" t="s">
        <v>54</v>
      </c>
      <c r="Y12" s="58">
        <v>89</v>
      </c>
    </row>
    <row r="13" spans="1:31" x14ac:dyDescent="0.3">
      <c r="A13" s="13" t="s">
        <v>203</v>
      </c>
      <c r="B13" s="13" t="s">
        <v>204</v>
      </c>
      <c r="C13" s="13" t="s">
        <v>205</v>
      </c>
      <c r="D13" s="13" t="s">
        <v>206</v>
      </c>
      <c r="F13" t="str">
        <f>Table_Barang[[#This Row],[Kode Barang]]</f>
        <v>PER002</v>
      </c>
      <c r="G13" t="str">
        <f>IF(TblGabungan[[#This Row],[Kode Barang]]="","",VLOOKUP(TblGabungan[[#This Row],[Kode Barang]],Table_Barang[#All],2,0))</f>
        <v>Meja Rapat</v>
      </c>
      <c r="H13" t="str">
        <f>VLOOKUP(TblGabungan[[#This Row],[Kode Barang]],Table_Barang[#All],4,0)</f>
        <v>Set</v>
      </c>
      <c r="I13" s="9">
        <f>IF(TblGabungan[[#This Row],[Kode Barang]]="","",VLOOKUP(TblGabungan[[#This Row],[Kode Barang]],Table_Barang[#All],5,0))</f>
        <v>150000</v>
      </c>
      <c r="J13">
        <f>IF(TblGabungan[[#This Row],[Kode Barang]]="","",VLOOKUP(TblGabungan[[#This Row],[Kode Barang]],TblStokAkhir[#All],3,0))</f>
        <v>0</v>
      </c>
      <c r="K13">
        <f>IF(TblGabungan[[#This Row],[Kode Barang]]="","",VLOOKUP(TblGabungan[[#This Row],[Kode Barang]],TblStokAkhir[#All],4,0))</f>
        <v>100</v>
      </c>
      <c r="L13">
        <f>IF(TblGabungan[[#This Row],[Kode Barang]]="","",VLOOKUP(TblGabungan[[#This Row],[Kode Barang]],TblStokAkhir[#All],5,0))</f>
        <v>100</v>
      </c>
      <c r="M13">
        <f>IF(TblGabungan[[#This Row],[Kode Barang]]="","",VLOOKUP(TblGabungan[[#This Row],[Kode Barang]],TblStokAkhir[#All],5,0))</f>
        <v>100</v>
      </c>
      <c r="N13">
        <f>IF(TblGabungan[[#This Row],[Kode Barang]]="","",VLOOKUP(TblGabungan[[#This Row],[Kode Barang]],TblStokAkhir[#All],7,0))</f>
        <v>10</v>
      </c>
      <c r="O13" t="str">
        <f>IF(TblGabungan[[#This Row],[Kode Barang]]="","",VLOOKUP(TblGabungan[[#This Row],[Kode Barang]],TblStokAkhir[#All],8,0))</f>
        <v>Habis</v>
      </c>
      <c r="X13" s="11" t="s">
        <v>61</v>
      </c>
      <c r="Y13" s="58">
        <v>73</v>
      </c>
    </row>
    <row r="14" spans="1:31" x14ac:dyDescent="0.3">
      <c r="A14" s="13">
        <f>SUBTOTAL(103,TblTransaksi[Kode Barang])</f>
        <v>73</v>
      </c>
      <c r="B14" s="13">
        <f>SUMIF(TblTransaksi[Jenis Transaksi],"Masuk",TblTransaksi[Jumlah])</f>
        <v>2202</v>
      </c>
      <c r="C14" s="13">
        <f>SUMIF(TblTransaksi[Jenis Transaksi],"Keluar",TblTransaksi[Jumlah])</f>
        <v>1965</v>
      </c>
      <c r="D14" s="14">
        <f>$C$14/($B$14+$C$14)</f>
        <v>0.47156227501799858</v>
      </c>
      <c r="F14" t="str">
        <f>Table_Barang[[#This Row],[Kode Barang]]</f>
        <v>ELE003</v>
      </c>
      <c r="G14" t="str">
        <f>IF(TblGabungan[[#This Row],[Kode Barang]]="","",VLOOKUP(TblGabungan[[#This Row],[Kode Barang]],Table_Barang[#All],2,0))</f>
        <v>Headset</v>
      </c>
      <c r="H14" t="str">
        <f>VLOOKUP(TblGabungan[[#This Row],[Kode Barang]],Table_Barang[#All],4,0)</f>
        <v>Pcs</v>
      </c>
      <c r="I14" s="9">
        <f>IF(TblGabungan[[#This Row],[Kode Barang]]="","",VLOOKUP(TblGabungan[[#This Row],[Kode Barang]],Table_Barang[#All],5,0))</f>
        <v>129000</v>
      </c>
      <c r="J14">
        <f>IF(TblGabungan[[#This Row],[Kode Barang]]="","",VLOOKUP(TblGabungan[[#This Row],[Kode Barang]],TblStokAkhir[#All],3,0))</f>
        <v>0</v>
      </c>
      <c r="K14">
        <f>IF(TblGabungan[[#This Row],[Kode Barang]]="","",VLOOKUP(TblGabungan[[#This Row],[Kode Barang]],TblStokAkhir[#All],4,0))</f>
        <v>45</v>
      </c>
      <c r="L14">
        <f>IF(TblGabungan[[#This Row],[Kode Barang]]="","",VLOOKUP(TblGabungan[[#This Row],[Kode Barang]],TblStokAkhir[#All],5,0))</f>
        <v>50</v>
      </c>
      <c r="M14">
        <f>IF(TblGabungan[[#This Row],[Kode Barang]]="","",VLOOKUP(TblGabungan[[#This Row],[Kode Barang]],TblStokAkhir[#All],5,0))</f>
        <v>50</v>
      </c>
      <c r="N14">
        <f>IF(TblGabungan[[#This Row],[Kode Barang]]="","",VLOOKUP(TblGabungan[[#This Row],[Kode Barang]],TblStokAkhir[#All],7,0))</f>
        <v>10</v>
      </c>
      <c r="O14" t="str">
        <f>IF(TblGabungan[[#This Row],[Kode Barang]]="","",VLOOKUP(TblGabungan[[#This Row],[Kode Barang]],TblStokAkhir[#All],8,0))</f>
        <v>Menipis</v>
      </c>
      <c r="X14" s="11" t="s">
        <v>170</v>
      </c>
      <c r="Y14" s="58">
        <v>71</v>
      </c>
    </row>
    <row r="15" spans="1:31" x14ac:dyDescent="0.3">
      <c r="F15" t="str">
        <f>Table_Barang[[#This Row],[Kode Barang]]</f>
        <v>KEB004</v>
      </c>
      <c r="G15" t="str">
        <f>IF(TblGabungan[[#This Row],[Kode Barang]]="","",VLOOKUP(TblGabungan[[#This Row],[Kode Barang]],Table_Barang[#All],2,0))</f>
        <v>Sabun Lantai</v>
      </c>
      <c r="H15" t="str">
        <f>VLOOKUP(TblGabungan[[#This Row],[Kode Barang]],Table_Barang[#All],4,0)</f>
        <v>Pack</v>
      </c>
      <c r="I15" s="9">
        <f>IF(TblGabungan[[#This Row],[Kode Barang]]="","",VLOOKUP(TblGabungan[[#This Row],[Kode Barang]],Table_Barang[#All],5,0))</f>
        <v>37900</v>
      </c>
      <c r="J15">
        <f>IF(TblGabungan[[#This Row],[Kode Barang]]="","",VLOOKUP(TblGabungan[[#This Row],[Kode Barang]],TblStokAkhir[#All],3,0))</f>
        <v>92</v>
      </c>
      <c r="K15">
        <f>IF(TblGabungan[[#This Row],[Kode Barang]]="","",VLOOKUP(TblGabungan[[#This Row],[Kode Barang]],TblStokAkhir[#All],4,0))</f>
        <v>0</v>
      </c>
      <c r="L15">
        <f>IF(TblGabungan[[#This Row],[Kode Barang]]="","",VLOOKUP(TblGabungan[[#This Row],[Kode Barang]],TblStokAkhir[#All],5,0))</f>
        <v>186</v>
      </c>
      <c r="M15">
        <f>IF(TblGabungan[[#This Row],[Kode Barang]]="","",VLOOKUP(TblGabungan[[#This Row],[Kode Barang]],TblStokAkhir[#All],5,0))</f>
        <v>186</v>
      </c>
      <c r="N15">
        <f>IF(TblGabungan[[#This Row],[Kode Barang]]="","",VLOOKUP(TblGabungan[[#This Row],[Kode Barang]],TblStokAkhir[#All],7,0))</f>
        <v>20</v>
      </c>
      <c r="O15" t="str">
        <f>IF(TblGabungan[[#This Row],[Kode Barang]]="","",VLOOKUP(TblGabungan[[#This Row],[Kode Barang]],TblStokAkhir[#All],8,0))</f>
        <v>Aman</v>
      </c>
      <c r="X15" s="11" t="s">
        <v>219</v>
      </c>
      <c r="Y15" s="58">
        <v>1411</v>
      </c>
    </row>
    <row r="16" spans="1:31" x14ac:dyDescent="0.3">
      <c r="A16" s="13" t="s">
        <v>208</v>
      </c>
      <c r="B16" s="13" t="s">
        <v>209</v>
      </c>
      <c r="F16" t="str">
        <f>Table_Barang[[#This Row],[Kode Barang]]</f>
        <v>ARS005</v>
      </c>
      <c r="G16" t="str">
        <f>IF(TblGabungan[[#This Row],[Kode Barang]]="","",VLOOKUP(TblGabungan[[#This Row],[Kode Barang]],Table_Barang[#All],2,0))</f>
        <v>Kertas Arsip</v>
      </c>
      <c r="H16" t="str">
        <f>VLOOKUP(TblGabungan[[#This Row],[Kode Barang]],Table_Barang[#All],4,0)</f>
        <v>Pack</v>
      </c>
      <c r="I16" s="9">
        <f>IF(TblGabungan[[#This Row],[Kode Barang]]="","",VLOOKUP(TblGabungan[[#This Row],[Kode Barang]],Table_Barang[#All],5,0))</f>
        <v>147600</v>
      </c>
      <c r="J16">
        <f>IF(TblGabungan[[#This Row],[Kode Barang]]="","",VLOOKUP(TblGabungan[[#This Row],[Kode Barang]],TblStokAkhir[#All],3,0))</f>
        <v>5</v>
      </c>
      <c r="K16">
        <f>IF(TblGabungan[[#This Row],[Kode Barang]]="","",VLOOKUP(TblGabungan[[#This Row],[Kode Barang]],TblStokAkhir[#All],4,0))</f>
        <v>0</v>
      </c>
      <c r="L16">
        <f>IF(TblGabungan[[#This Row],[Kode Barang]]="","",VLOOKUP(TblGabungan[[#This Row],[Kode Barang]],TblStokAkhir[#All],5,0))</f>
        <v>160</v>
      </c>
      <c r="M16">
        <f>IF(TblGabungan[[#This Row],[Kode Barang]]="","",VLOOKUP(TblGabungan[[#This Row],[Kode Barang]],TblStokAkhir[#All],5,0))</f>
        <v>160</v>
      </c>
      <c r="N16">
        <f>IF(TblGabungan[[#This Row],[Kode Barang]]="","",VLOOKUP(TblGabungan[[#This Row],[Kode Barang]],TblStokAkhir[#All],7,0))</f>
        <v>20</v>
      </c>
      <c r="O16" t="str">
        <f>IF(TblGabungan[[#This Row],[Kode Barang]]="","",VLOOKUP(TblGabungan[[#This Row],[Kode Barang]],TblStokAkhir[#All],8,0))</f>
        <v>Aman</v>
      </c>
    </row>
    <row r="17" spans="1:15" x14ac:dyDescent="0.3">
      <c r="A17" s="13">
        <f>COUNTIF(TblStokAkhir[Status],"Habis")+COUNTIF(TblStokAkhir[Status],"Menipis")</f>
        <v>9</v>
      </c>
      <c r="B17" s="13">
        <f>COUNTIF(TblStokAkhir[Stok Minimum],"&gt;0")</f>
        <v>105</v>
      </c>
      <c r="F17" t="str">
        <f>Table_Barang[[#This Row],[Kode Barang]]</f>
        <v>ARS006</v>
      </c>
      <c r="G17" t="str">
        <f>IF(TblGabungan[[#This Row],[Kode Barang]]="","",VLOOKUP(TblGabungan[[#This Row],[Kode Barang]],Table_Barang[#All],2,0))</f>
        <v>File Dividers</v>
      </c>
      <c r="H17" t="str">
        <f>VLOOKUP(TblGabungan[[#This Row],[Kode Barang]],Table_Barang[#All],4,0)</f>
        <v>Set</v>
      </c>
      <c r="I17" s="9">
        <f>IF(TblGabungan[[#This Row],[Kode Barang]]="","",VLOOKUP(TblGabungan[[#This Row],[Kode Barang]],Table_Barang[#All],5,0))</f>
        <v>135300</v>
      </c>
      <c r="J17">
        <f>IF(TblGabungan[[#This Row],[Kode Barang]]="","",VLOOKUP(TblGabungan[[#This Row],[Kode Barang]],TblStokAkhir[#All],3,0))</f>
        <v>105</v>
      </c>
      <c r="K17">
        <f>IF(TblGabungan[[#This Row],[Kode Barang]]="","",VLOOKUP(TblGabungan[[#This Row],[Kode Barang]],TblStokAkhir[#All],4,0))</f>
        <v>254</v>
      </c>
      <c r="L17">
        <f>IF(TblGabungan[[#This Row],[Kode Barang]]="","",VLOOKUP(TblGabungan[[#This Row],[Kode Barang]],TblStokAkhir[#All],5,0))</f>
        <v>278</v>
      </c>
      <c r="M17">
        <f>IF(TblGabungan[[#This Row],[Kode Barang]]="","",VLOOKUP(TblGabungan[[#This Row],[Kode Barang]],TblStokAkhir[#All],5,0))</f>
        <v>278</v>
      </c>
      <c r="N17">
        <f>IF(TblGabungan[[#This Row],[Kode Barang]]="","",VLOOKUP(TblGabungan[[#This Row],[Kode Barang]],TblStokAkhir[#All],7,0))</f>
        <v>20</v>
      </c>
      <c r="O17" t="str">
        <f>IF(TblGabungan[[#This Row],[Kode Barang]]="","",VLOOKUP(TblGabungan[[#This Row],[Kode Barang]],TblStokAkhir[#All],8,0))</f>
        <v>Aman</v>
      </c>
    </row>
    <row r="18" spans="1:15" x14ac:dyDescent="0.3">
      <c r="F18" t="str">
        <f>Table_Barang[[#This Row],[Kode Barang]]</f>
        <v>ARS007</v>
      </c>
      <c r="G18" t="str">
        <f>IF(TblGabungan[[#This Row],[Kode Barang]]="","",VLOOKUP(TblGabungan[[#This Row],[Kode Barang]],Table_Barang[#All],2,0))</f>
        <v>Binder Arsip</v>
      </c>
      <c r="H18" t="str">
        <f>VLOOKUP(TblGabungan[[#This Row],[Kode Barang]],Table_Barang[#All],4,0)</f>
        <v>Set</v>
      </c>
      <c r="I18" s="9">
        <f>IF(TblGabungan[[#This Row],[Kode Barang]]="","",VLOOKUP(TblGabungan[[#This Row],[Kode Barang]],Table_Barang[#All],5,0))</f>
        <v>157500</v>
      </c>
      <c r="J18">
        <f>IF(TblGabungan[[#This Row],[Kode Barang]]="","",VLOOKUP(TblGabungan[[#This Row],[Kode Barang]],TblStokAkhir[#All],3,0))</f>
        <v>0</v>
      </c>
      <c r="K18">
        <f>IF(TblGabungan[[#This Row],[Kode Barang]]="","",VLOOKUP(TblGabungan[[#This Row],[Kode Barang]],TblStokAkhir[#All],4,0))</f>
        <v>57</v>
      </c>
      <c r="L18">
        <f>IF(TblGabungan[[#This Row],[Kode Barang]]="","",VLOOKUP(TblGabungan[[#This Row],[Kode Barang]],TblStokAkhir[#All],5,0))</f>
        <v>64</v>
      </c>
      <c r="M18">
        <f>IF(TblGabungan[[#This Row],[Kode Barang]]="","",VLOOKUP(TblGabungan[[#This Row],[Kode Barang]],TblStokAkhir[#All],5,0))</f>
        <v>64</v>
      </c>
      <c r="N18">
        <f>IF(TblGabungan[[#This Row],[Kode Barang]]="","",VLOOKUP(TblGabungan[[#This Row],[Kode Barang]],TblStokAkhir[#All],7,0))</f>
        <v>20</v>
      </c>
      <c r="O18" t="str">
        <f>IF(TblGabungan[[#This Row],[Kode Barang]]="","",VLOOKUP(TblGabungan[[#This Row],[Kode Barang]],TblStokAkhir[#All],8,0))</f>
        <v>Menipis</v>
      </c>
    </row>
    <row r="19" spans="1:15" x14ac:dyDescent="0.3">
      <c r="A19" s="13" t="s">
        <v>210</v>
      </c>
      <c r="B19" s="13" t="s">
        <v>211</v>
      </c>
      <c r="C19" s="13" t="s">
        <v>212</v>
      </c>
      <c r="F19" t="str">
        <f>Table_Barang[[#This Row],[Kode Barang]]</f>
        <v>LAI008</v>
      </c>
      <c r="G19" t="str">
        <f>IF(TblGabungan[[#This Row],[Kode Barang]]="","",VLOOKUP(TblGabungan[[#This Row],[Kode Barang]],Table_Barang[#All],2,0))</f>
        <v>Plastik Klip</v>
      </c>
      <c r="H19" t="str">
        <f>VLOOKUP(TblGabungan[[#This Row],[Kode Barang]],Table_Barang[#All],4,0)</f>
        <v>Roll</v>
      </c>
      <c r="I19" s="9">
        <f>IF(TblGabungan[[#This Row],[Kode Barang]]="","",VLOOKUP(TblGabungan[[#This Row],[Kode Barang]],Table_Barang[#All],5,0))</f>
        <v>6800</v>
      </c>
      <c r="J19">
        <f>IF(TblGabungan[[#This Row],[Kode Barang]]="","",VLOOKUP(TblGabungan[[#This Row],[Kode Barang]],TblStokAkhir[#All],3,0))</f>
        <v>9</v>
      </c>
      <c r="K19">
        <f>IF(TblGabungan[[#This Row],[Kode Barang]]="","",VLOOKUP(TblGabungan[[#This Row],[Kode Barang]],TblStokAkhir[#All],4,0))</f>
        <v>0</v>
      </c>
      <c r="L19">
        <f>IF(TblGabungan[[#This Row],[Kode Barang]]="","",VLOOKUP(TblGabungan[[#This Row],[Kode Barang]],TblStokAkhir[#All],5,0))</f>
        <v>300</v>
      </c>
      <c r="M19">
        <f>IF(TblGabungan[[#This Row],[Kode Barang]]="","",VLOOKUP(TblGabungan[[#This Row],[Kode Barang]],TblStokAkhir[#All],5,0))</f>
        <v>300</v>
      </c>
      <c r="N19">
        <f>IF(TblGabungan[[#This Row],[Kode Barang]]="","",VLOOKUP(TblGabungan[[#This Row],[Kode Barang]],TblStokAkhir[#All],7,0))</f>
        <v>30</v>
      </c>
      <c r="O19" t="str">
        <f>IF(TblGabungan[[#This Row],[Kode Barang]]="","",VLOOKUP(TblGabungan[[#This Row],[Kode Barang]],TblStokAkhir[#All],8,0))</f>
        <v>Aman</v>
      </c>
    </row>
    <row r="20" spans="1:15" x14ac:dyDescent="0.3">
      <c r="A20" s="13">
        <f>SUM(Table_Barang[Stok Awal])</f>
        <v>16754</v>
      </c>
      <c r="B20" s="13">
        <f>SUM(Table_Barang[Stok Minimum])</f>
        <v>2180</v>
      </c>
      <c r="C20" s="15">
        <f>AVERAGE(Table_Barang[Harga Satuan])</f>
        <v>100524.76190476191</v>
      </c>
      <c r="F20" t="str">
        <f>Table_Barang[[#This Row],[Kode Barang]]</f>
        <v>KEB009</v>
      </c>
      <c r="G20" t="str">
        <f>IF(TblGabungan[[#This Row],[Kode Barang]]="","",VLOOKUP(TblGabungan[[#This Row],[Kode Barang]],Table_Barang[#All],2,0))</f>
        <v>Disinfektan</v>
      </c>
      <c r="H20" t="str">
        <f>VLOOKUP(TblGabungan[[#This Row],[Kode Barang]],Table_Barang[#All],4,0)</f>
        <v>Liter</v>
      </c>
      <c r="I20" s="9">
        <f>IF(TblGabungan[[#This Row],[Kode Barang]]="","",VLOOKUP(TblGabungan[[#This Row],[Kode Barang]],Table_Barang[#All],5,0))</f>
        <v>169000</v>
      </c>
      <c r="J20">
        <f>IF(TblGabungan[[#This Row],[Kode Barang]]="","",VLOOKUP(TblGabungan[[#This Row],[Kode Barang]],TblStokAkhir[#All],3,0))</f>
        <v>54</v>
      </c>
      <c r="K20">
        <f>IF(TblGabungan[[#This Row],[Kode Barang]]="","",VLOOKUP(TblGabungan[[#This Row],[Kode Barang]],TblStokAkhir[#All],4,0))</f>
        <v>0</v>
      </c>
      <c r="L20">
        <f>IF(TblGabungan[[#This Row],[Kode Barang]]="","",VLOOKUP(TblGabungan[[#This Row],[Kode Barang]],TblStokAkhir[#All],5,0))</f>
        <v>173</v>
      </c>
      <c r="M20">
        <f>IF(TblGabungan[[#This Row],[Kode Barang]]="","",VLOOKUP(TblGabungan[[#This Row],[Kode Barang]],TblStokAkhir[#All],5,0))</f>
        <v>173</v>
      </c>
      <c r="N20">
        <f>IF(TblGabungan[[#This Row],[Kode Barang]]="","",VLOOKUP(TblGabungan[[#This Row],[Kode Barang]],TblStokAkhir[#All],7,0))</f>
        <v>30</v>
      </c>
      <c r="O20" t="str">
        <f>IF(TblGabungan[[#This Row],[Kode Barang]]="","",VLOOKUP(TblGabungan[[#This Row],[Kode Barang]],TblStokAkhir[#All],8,0))</f>
        <v>Aman</v>
      </c>
    </row>
    <row r="21" spans="1:15" x14ac:dyDescent="0.3">
      <c r="F21" t="str">
        <f>Table_Barang[[#This Row],[Kode Barang]]</f>
        <v>PER010</v>
      </c>
      <c r="G21" t="str">
        <f>IF(TblGabungan[[#This Row],[Kode Barang]]="","",VLOOKUP(TblGabungan[[#This Row],[Kode Barang]],Table_Barang[#All],2,0))</f>
        <v>Meja Kerja</v>
      </c>
      <c r="H21" t="str">
        <f>VLOOKUP(TblGabungan[[#This Row],[Kode Barang]],Table_Barang[#All],4,0)</f>
        <v>Set</v>
      </c>
      <c r="I21" s="9">
        <f>IF(TblGabungan[[#This Row],[Kode Barang]]="","",VLOOKUP(TblGabungan[[#This Row],[Kode Barang]],Table_Barang[#All],5,0))</f>
        <v>20000</v>
      </c>
      <c r="J21">
        <f>IF(TblGabungan[[#This Row],[Kode Barang]]="","",VLOOKUP(TblGabungan[[#This Row],[Kode Barang]],TblStokAkhir[#All],3,0))</f>
        <v>240</v>
      </c>
      <c r="K21">
        <f>IF(TblGabungan[[#This Row],[Kode Barang]]="","",VLOOKUP(TblGabungan[[#This Row],[Kode Barang]],TblStokAkhir[#All],4,0))</f>
        <v>0</v>
      </c>
      <c r="L21">
        <f>IF(TblGabungan[[#This Row],[Kode Barang]]="","",VLOOKUP(TblGabungan[[#This Row],[Kode Barang]],TblStokAkhir[#All],5,0))</f>
        <v>52</v>
      </c>
      <c r="M21">
        <f>IF(TblGabungan[[#This Row],[Kode Barang]]="","",VLOOKUP(TblGabungan[[#This Row],[Kode Barang]],TblStokAkhir[#All],5,0))</f>
        <v>52</v>
      </c>
      <c r="N21">
        <f>IF(TblGabungan[[#This Row],[Kode Barang]]="","",VLOOKUP(TblGabungan[[#This Row],[Kode Barang]],TblStokAkhir[#All],7,0))</f>
        <v>30</v>
      </c>
      <c r="O21" t="str">
        <f>IF(TblGabungan[[#This Row],[Kode Barang]]="","",VLOOKUP(TblGabungan[[#This Row],[Kode Barang]],TblStokAkhir[#All],8,0))</f>
        <v>Aman</v>
      </c>
    </row>
    <row r="22" spans="1:15" x14ac:dyDescent="0.3">
      <c r="F22" t="str">
        <f>Table_Barang[[#This Row],[Kode Barang]]</f>
        <v>PER011</v>
      </c>
      <c r="G22" t="str">
        <f>IF(TblGabungan[[#This Row],[Kode Barang]]="","",VLOOKUP(TblGabungan[[#This Row],[Kode Barang]],Table_Barang[#All],2,0))</f>
        <v>Lemari Besi</v>
      </c>
      <c r="H22" t="str">
        <f>VLOOKUP(TblGabungan[[#This Row],[Kode Barang]],Table_Barang[#All],4,0)</f>
        <v>Set</v>
      </c>
      <c r="I22" s="9">
        <f>IF(TblGabungan[[#This Row],[Kode Barang]]="","",VLOOKUP(TblGabungan[[#This Row],[Kode Barang]],Table_Barang[#All],5,0))</f>
        <v>151000</v>
      </c>
      <c r="J22">
        <f>IF(TblGabungan[[#This Row],[Kode Barang]]="","",VLOOKUP(TblGabungan[[#This Row],[Kode Barang]],TblStokAkhir[#All],3,0))</f>
        <v>12</v>
      </c>
      <c r="K22">
        <f>IF(TblGabungan[[#This Row],[Kode Barang]]="","",VLOOKUP(TblGabungan[[#This Row],[Kode Barang]],TblStokAkhir[#All],4,0))</f>
        <v>0</v>
      </c>
      <c r="L22">
        <f>IF(TblGabungan[[#This Row],[Kode Barang]]="","",VLOOKUP(TblGabungan[[#This Row],[Kode Barang]],TblStokAkhir[#All],5,0))</f>
        <v>284</v>
      </c>
      <c r="M22">
        <f>IF(TblGabungan[[#This Row],[Kode Barang]]="","",VLOOKUP(TblGabungan[[#This Row],[Kode Barang]],TblStokAkhir[#All],5,0))</f>
        <v>284</v>
      </c>
      <c r="N22">
        <f>IF(TblGabungan[[#This Row],[Kode Barang]]="","",VLOOKUP(TblGabungan[[#This Row],[Kode Barang]],TblStokAkhir[#All],7,0))</f>
        <v>10</v>
      </c>
      <c r="O22" t="str">
        <f>IF(TblGabungan[[#This Row],[Kode Barang]]="","",VLOOKUP(TblGabungan[[#This Row],[Kode Barang]],TblStokAkhir[#All],8,0))</f>
        <v>Aman</v>
      </c>
    </row>
    <row r="23" spans="1:15" x14ac:dyDescent="0.3">
      <c r="F23" t="str">
        <f>Table_Barang[[#This Row],[Kode Barang]]</f>
        <v>ATK012</v>
      </c>
      <c r="G23" t="str">
        <f>IF(TblGabungan[[#This Row],[Kode Barang]]="","",VLOOKUP(TblGabungan[[#This Row],[Kode Barang]],Table_Barang[#All],2,0))</f>
        <v>Pulpen Hitam</v>
      </c>
      <c r="H23" t="str">
        <f>VLOOKUP(TblGabungan[[#This Row],[Kode Barang]],Table_Barang[#All],4,0)</f>
        <v>Pcs</v>
      </c>
      <c r="I23" s="9">
        <f>IF(TblGabungan[[#This Row],[Kode Barang]]="","",VLOOKUP(TblGabungan[[#This Row],[Kode Barang]],Table_Barang[#All],5,0))</f>
        <v>196600</v>
      </c>
      <c r="J23">
        <f>IF(TblGabungan[[#This Row],[Kode Barang]]="","",VLOOKUP(TblGabungan[[#This Row],[Kode Barang]],TblStokAkhir[#All],3,0))</f>
        <v>0</v>
      </c>
      <c r="K23">
        <f>IF(TblGabungan[[#This Row],[Kode Barang]]="","",VLOOKUP(TblGabungan[[#This Row],[Kode Barang]],TblStokAkhir[#All],4,0))</f>
        <v>0</v>
      </c>
      <c r="L23">
        <f>IF(TblGabungan[[#This Row],[Kode Barang]]="","",VLOOKUP(TblGabungan[[#This Row],[Kode Barang]],TblStokAkhir[#All],5,0))</f>
        <v>87</v>
      </c>
      <c r="M23">
        <f>IF(TblGabungan[[#This Row],[Kode Barang]]="","",VLOOKUP(TblGabungan[[#This Row],[Kode Barang]],TblStokAkhir[#All],5,0))</f>
        <v>87</v>
      </c>
      <c r="N23">
        <f>IF(TblGabungan[[#This Row],[Kode Barang]]="","",VLOOKUP(TblGabungan[[#This Row],[Kode Barang]],TblStokAkhir[#All],7,0))</f>
        <v>20</v>
      </c>
      <c r="O23" t="str">
        <f>IF(TblGabungan[[#This Row],[Kode Barang]]="","",VLOOKUP(TblGabungan[[#This Row],[Kode Barang]],TblStokAkhir[#All],8,0))</f>
        <v>Aman</v>
      </c>
    </row>
    <row r="24" spans="1:15" x14ac:dyDescent="0.3">
      <c r="F24" t="str">
        <f>Table_Barang[[#This Row],[Kode Barang]]</f>
        <v>ELE013</v>
      </c>
      <c r="G24" t="str">
        <f>IF(TblGabungan[[#This Row],[Kode Barang]]="","",VLOOKUP(TblGabungan[[#This Row],[Kode Barang]],Table_Barang[#All],2,0))</f>
        <v>Lampu LED</v>
      </c>
      <c r="H24" t="str">
        <f>VLOOKUP(TblGabungan[[#This Row],[Kode Barang]],Table_Barang[#All],4,0)</f>
        <v>Set</v>
      </c>
      <c r="I24" s="9">
        <f>IF(TblGabungan[[#This Row],[Kode Barang]]="","",VLOOKUP(TblGabungan[[#This Row],[Kode Barang]],Table_Barang[#All],5,0))</f>
        <v>25600</v>
      </c>
      <c r="J24">
        <f>IF(TblGabungan[[#This Row],[Kode Barang]]="","",VLOOKUP(TblGabungan[[#This Row],[Kode Barang]],TblStokAkhir[#All],3,0))</f>
        <v>0</v>
      </c>
      <c r="K24">
        <f>IF(TblGabungan[[#This Row],[Kode Barang]]="","",VLOOKUP(TblGabungan[[#This Row],[Kode Barang]],TblStokAkhir[#All],4,0))</f>
        <v>0</v>
      </c>
      <c r="L24">
        <f>IF(TblGabungan[[#This Row],[Kode Barang]]="","",VLOOKUP(TblGabungan[[#This Row],[Kode Barang]],TblStokAkhir[#All],5,0))</f>
        <v>124</v>
      </c>
      <c r="M24">
        <f>IF(TblGabungan[[#This Row],[Kode Barang]]="","",VLOOKUP(TblGabungan[[#This Row],[Kode Barang]],TblStokAkhir[#All],5,0))</f>
        <v>124</v>
      </c>
      <c r="N24">
        <f>IF(TblGabungan[[#This Row],[Kode Barang]]="","",VLOOKUP(TblGabungan[[#This Row],[Kode Barang]],TblStokAkhir[#All],7,0))</f>
        <v>10</v>
      </c>
      <c r="O24" t="str">
        <f>IF(TblGabungan[[#This Row],[Kode Barang]]="","",VLOOKUP(TblGabungan[[#This Row],[Kode Barang]],TblStokAkhir[#All],8,0))</f>
        <v>Aman</v>
      </c>
    </row>
    <row r="25" spans="1:15" x14ac:dyDescent="0.3">
      <c r="F25" t="str">
        <f>Table_Barang[[#This Row],[Kode Barang]]</f>
        <v>ATK014</v>
      </c>
      <c r="G25" t="str">
        <f>IF(TblGabungan[[#This Row],[Kode Barang]]="","",VLOOKUP(TblGabungan[[#This Row],[Kode Barang]],Table_Barang[#All],2,0))</f>
        <v>Kertas HVS</v>
      </c>
      <c r="H25" t="str">
        <f>VLOOKUP(TblGabungan[[#This Row],[Kode Barang]],Table_Barang[#All],4,0)</f>
        <v>Box</v>
      </c>
      <c r="I25" s="9">
        <f>IF(TblGabungan[[#This Row],[Kode Barang]]="","",VLOOKUP(TblGabungan[[#This Row],[Kode Barang]],Table_Barang[#All],5,0))</f>
        <v>110600</v>
      </c>
      <c r="J25">
        <f>IF(TblGabungan[[#This Row],[Kode Barang]]="","",VLOOKUP(TblGabungan[[#This Row],[Kode Barang]],TblStokAkhir[#All],3,0))</f>
        <v>50</v>
      </c>
      <c r="K25">
        <f>IF(TblGabungan[[#This Row],[Kode Barang]]="","",VLOOKUP(TblGabungan[[#This Row],[Kode Barang]],TblStokAkhir[#All],4,0))</f>
        <v>0</v>
      </c>
      <c r="L25">
        <f>IF(TblGabungan[[#This Row],[Kode Barang]]="","",VLOOKUP(TblGabungan[[#This Row],[Kode Barang]],TblStokAkhir[#All],5,0))</f>
        <v>81</v>
      </c>
      <c r="M25">
        <f>IF(TblGabungan[[#This Row],[Kode Barang]]="","",VLOOKUP(TblGabungan[[#This Row],[Kode Barang]],TblStokAkhir[#All],5,0))</f>
        <v>81</v>
      </c>
      <c r="N25">
        <f>IF(TblGabungan[[#This Row],[Kode Barang]]="","",VLOOKUP(TblGabungan[[#This Row],[Kode Barang]],TblStokAkhir[#All],7,0))</f>
        <v>30</v>
      </c>
      <c r="O25" t="str">
        <f>IF(TblGabungan[[#This Row],[Kode Barang]]="","",VLOOKUP(TblGabungan[[#This Row],[Kode Barang]],TblStokAkhir[#All],8,0))</f>
        <v>Aman</v>
      </c>
    </row>
    <row r="26" spans="1:15" x14ac:dyDescent="0.3">
      <c r="F26" t="str">
        <f>Table_Barang[[#This Row],[Kode Barang]]</f>
        <v>ELE015</v>
      </c>
      <c r="G26" t="str">
        <f>IF(TblGabungan[[#This Row],[Kode Barang]]="","",VLOOKUP(TblGabungan[[#This Row],[Kode Barang]],Table_Barang[#All],2,0))</f>
        <v>Keyboard USB</v>
      </c>
      <c r="H26" t="str">
        <f>VLOOKUP(TblGabungan[[#This Row],[Kode Barang]],Table_Barang[#All],4,0)</f>
        <v>Set</v>
      </c>
      <c r="I26" s="9">
        <f>IF(TblGabungan[[#This Row],[Kode Barang]]="","",VLOOKUP(TblGabungan[[#This Row],[Kode Barang]],Table_Barang[#All],5,0))</f>
        <v>174600</v>
      </c>
      <c r="J26">
        <f>IF(TblGabungan[[#This Row],[Kode Barang]]="","",VLOOKUP(TblGabungan[[#This Row],[Kode Barang]],TblStokAkhir[#All],3,0))</f>
        <v>93</v>
      </c>
      <c r="K26">
        <f>IF(TblGabungan[[#This Row],[Kode Barang]]="","",VLOOKUP(TblGabungan[[#This Row],[Kode Barang]],TblStokAkhir[#All],4,0))</f>
        <v>0</v>
      </c>
      <c r="L26">
        <f>IF(TblGabungan[[#This Row],[Kode Barang]]="","",VLOOKUP(TblGabungan[[#This Row],[Kode Barang]],TblStokAkhir[#All],5,0))</f>
        <v>181</v>
      </c>
      <c r="M26">
        <f>IF(TblGabungan[[#This Row],[Kode Barang]]="","",VLOOKUP(TblGabungan[[#This Row],[Kode Barang]],TblStokAkhir[#All],5,0))</f>
        <v>181</v>
      </c>
      <c r="N26">
        <f>IF(TblGabungan[[#This Row],[Kode Barang]]="","",VLOOKUP(TblGabungan[[#This Row],[Kode Barang]],TblStokAkhir[#All],7,0))</f>
        <v>30</v>
      </c>
      <c r="O26" t="str">
        <f>IF(TblGabungan[[#This Row],[Kode Barang]]="","",VLOOKUP(TblGabungan[[#This Row],[Kode Barang]],TblStokAkhir[#All],8,0))</f>
        <v>Aman</v>
      </c>
    </row>
    <row r="27" spans="1:15" x14ac:dyDescent="0.3">
      <c r="F27" t="str">
        <f>Table_Barang[[#This Row],[Kode Barang]]</f>
        <v>ATK016</v>
      </c>
      <c r="G27" t="str">
        <f>IF(TblGabungan[[#This Row],[Kode Barang]]="","",VLOOKUP(TblGabungan[[#This Row],[Kode Barang]],Table_Barang[#All],2,0))</f>
        <v>Buku Tulis</v>
      </c>
      <c r="H27" t="str">
        <f>VLOOKUP(TblGabungan[[#This Row],[Kode Barang]],Table_Barang[#All],4,0)</f>
        <v>Pcs</v>
      </c>
      <c r="I27" s="9">
        <f>IF(TblGabungan[[#This Row],[Kode Barang]]="","",VLOOKUP(TblGabungan[[#This Row],[Kode Barang]],Table_Barang[#All],5,0))</f>
        <v>134300</v>
      </c>
      <c r="J27">
        <f>IF(TblGabungan[[#This Row],[Kode Barang]]="","",VLOOKUP(TblGabungan[[#This Row],[Kode Barang]],TblStokAkhir[#All],3,0))</f>
        <v>75</v>
      </c>
      <c r="K27">
        <f>IF(TblGabungan[[#This Row],[Kode Barang]]="","",VLOOKUP(TblGabungan[[#This Row],[Kode Barang]],TblStokAkhir[#All],4,0))</f>
        <v>0</v>
      </c>
      <c r="L27">
        <f>IF(TblGabungan[[#This Row],[Kode Barang]]="","",VLOOKUP(TblGabungan[[#This Row],[Kode Barang]],TblStokAkhir[#All],5,0))</f>
        <v>267</v>
      </c>
      <c r="M27">
        <f>IF(TblGabungan[[#This Row],[Kode Barang]]="","",VLOOKUP(TblGabungan[[#This Row],[Kode Barang]],TblStokAkhir[#All],5,0))</f>
        <v>267</v>
      </c>
      <c r="N27">
        <f>IF(TblGabungan[[#This Row],[Kode Barang]]="","",VLOOKUP(TblGabungan[[#This Row],[Kode Barang]],TblStokAkhir[#All],7,0))</f>
        <v>30</v>
      </c>
      <c r="O27" t="str">
        <f>IF(TblGabungan[[#This Row],[Kode Barang]]="","",VLOOKUP(TblGabungan[[#This Row],[Kode Barang]],TblStokAkhir[#All],8,0))</f>
        <v>Aman</v>
      </c>
    </row>
    <row r="28" spans="1:15" x14ac:dyDescent="0.3">
      <c r="F28" t="str">
        <f>Table_Barang[[#This Row],[Kode Barang]]</f>
        <v>LAI017</v>
      </c>
      <c r="G28" t="str">
        <f>IF(TblGabungan[[#This Row],[Kode Barang]]="","",VLOOKUP(TblGabungan[[#This Row],[Kode Barang]],Table_Barang[#All],2,0))</f>
        <v>Sumbu Kompor</v>
      </c>
      <c r="H28" t="str">
        <f>VLOOKUP(TblGabungan[[#This Row],[Kode Barang]],Table_Barang[#All],4,0)</f>
        <v>Unit</v>
      </c>
      <c r="I28" s="9">
        <f>IF(TblGabungan[[#This Row],[Kode Barang]]="","",VLOOKUP(TblGabungan[[#This Row],[Kode Barang]],Table_Barang[#All],5,0))</f>
        <v>92800</v>
      </c>
      <c r="J28">
        <f>IF(TblGabungan[[#This Row],[Kode Barang]]="","",VLOOKUP(TblGabungan[[#This Row],[Kode Barang]],TblStokAkhir[#All],3,0))</f>
        <v>0</v>
      </c>
      <c r="K28">
        <f>IF(TblGabungan[[#This Row],[Kode Barang]]="","",VLOOKUP(TblGabungan[[#This Row],[Kode Barang]],TblStokAkhir[#All],4,0))</f>
        <v>0</v>
      </c>
      <c r="L28">
        <f>IF(TblGabungan[[#This Row],[Kode Barang]]="","",VLOOKUP(TblGabungan[[#This Row],[Kode Barang]],TblStokAkhir[#All],5,0))</f>
        <v>187</v>
      </c>
      <c r="M28">
        <f>IF(TblGabungan[[#This Row],[Kode Barang]]="","",VLOOKUP(TblGabungan[[#This Row],[Kode Barang]],TblStokAkhir[#All],5,0))</f>
        <v>187</v>
      </c>
      <c r="N28">
        <f>IF(TblGabungan[[#This Row],[Kode Barang]]="","",VLOOKUP(TblGabungan[[#This Row],[Kode Barang]],TblStokAkhir[#All],7,0))</f>
        <v>10</v>
      </c>
      <c r="O28" t="str">
        <f>IF(TblGabungan[[#This Row],[Kode Barang]]="","",VLOOKUP(TblGabungan[[#This Row],[Kode Barang]],TblStokAkhir[#All],8,0))</f>
        <v>Aman</v>
      </c>
    </row>
    <row r="29" spans="1:15" x14ac:dyDescent="0.3">
      <c r="F29" t="str">
        <f>Table_Barang[[#This Row],[Kode Barang]]</f>
        <v>ATK018</v>
      </c>
      <c r="G29" t="str">
        <f>IF(TblGabungan[[#This Row],[Kode Barang]]="","",VLOOKUP(TblGabungan[[#This Row],[Kode Barang]],Table_Barang[#All],2,0))</f>
        <v>Buku Tulis</v>
      </c>
      <c r="H29" t="str">
        <f>VLOOKUP(TblGabungan[[#This Row],[Kode Barang]],Table_Barang[#All],4,0)</f>
        <v>Pack</v>
      </c>
      <c r="I29" s="9">
        <f>IF(TblGabungan[[#This Row],[Kode Barang]]="","",VLOOKUP(TblGabungan[[#This Row],[Kode Barang]],Table_Barang[#All],5,0))</f>
        <v>199000</v>
      </c>
      <c r="J29">
        <f>IF(TblGabungan[[#This Row],[Kode Barang]]="","",VLOOKUP(TblGabungan[[#This Row],[Kode Barang]],TblStokAkhir[#All],3,0))</f>
        <v>0</v>
      </c>
      <c r="K29">
        <f>IF(TblGabungan[[#This Row],[Kode Barang]]="","",VLOOKUP(TblGabungan[[#This Row],[Kode Barang]],TblStokAkhir[#All],4,0))</f>
        <v>30</v>
      </c>
      <c r="L29">
        <f>IF(TblGabungan[[#This Row],[Kode Barang]]="","",VLOOKUP(TblGabungan[[#This Row],[Kode Barang]],TblStokAkhir[#All],5,0))</f>
        <v>45</v>
      </c>
      <c r="M29">
        <f>IF(TblGabungan[[#This Row],[Kode Barang]]="","",VLOOKUP(TblGabungan[[#This Row],[Kode Barang]],TblStokAkhir[#All],5,0))</f>
        <v>45</v>
      </c>
      <c r="N29">
        <f>IF(TblGabungan[[#This Row],[Kode Barang]]="","",VLOOKUP(TblGabungan[[#This Row],[Kode Barang]],TblStokAkhir[#All],7,0))</f>
        <v>10</v>
      </c>
      <c r="O29" t="str">
        <f>IF(TblGabungan[[#This Row],[Kode Barang]]="","",VLOOKUP(TblGabungan[[#This Row],[Kode Barang]],TblStokAkhir[#All],8,0))</f>
        <v>Aman</v>
      </c>
    </row>
    <row r="30" spans="1:15" x14ac:dyDescent="0.3">
      <c r="F30" t="str">
        <f>Table_Barang[[#This Row],[Kode Barang]]</f>
        <v>ARS019</v>
      </c>
      <c r="G30" t="str">
        <f>IF(TblGabungan[[#This Row],[Kode Barang]]="","",VLOOKUP(TblGabungan[[#This Row],[Kode Barang]],Table_Barang[#All],2,0))</f>
        <v>File Dividers</v>
      </c>
      <c r="H30" t="str">
        <f>VLOOKUP(TblGabungan[[#This Row],[Kode Barang]],Table_Barang[#All],4,0)</f>
        <v>Box</v>
      </c>
      <c r="I30" s="9">
        <f>IF(TblGabungan[[#This Row],[Kode Barang]]="","",VLOOKUP(TblGabungan[[#This Row],[Kode Barang]],Table_Barang[#All],5,0))</f>
        <v>155600</v>
      </c>
      <c r="J30">
        <f>IF(TblGabungan[[#This Row],[Kode Barang]]="","",VLOOKUP(TblGabungan[[#This Row],[Kode Barang]],TblStokAkhir[#All],3,0))</f>
        <v>0</v>
      </c>
      <c r="K30">
        <f>IF(TblGabungan[[#This Row],[Kode Barang]]="","",VLOOKUP(TblGabungan[[#This Row],[Kode Barang]],TblStokAkhir[#All],4,0))</f>
        <v>0</v>
      </c>
      <c r="L30">
        <f>IF(TblGabungan[[#This Row],[Kode Barang]]="","",VLOOKUP(TblGabungan[[#This Row],[Kode Barang]],TblStokAkhir[#All],5,0))</f>
        <v>179</v>
      </c>
      <c r="M30">
        <f>IF(TblGabungan[[#This Row],[Kode Barang]]="","",VLOOKUP(TblGabungan[[#This Row],[Kode Barang]],TblStokAkhir[#All],5,0))</f>
        <v>179</v>
      </c>
      <c r="N30">
        <f>IF(TblGabungan[[#This Row],[Kode Barang]]="","",VLOOKUP(TblGabungan[[#This Row],[Kode Barang]],TblStokAkhir[#All],7,0))</f>
        <v>30</v>
      </c>
      <c r="O30" t="str">
        <f>IF(TblGabungan[[#This Row],[Kode Barang]]="","",VLOOKUP(TblGabungan[[#This Row],[Kode Barang]],TblStokAkhir[#All],8,0))</f>
        <v>Aman</v>
      </c>
    </row>
    <row r="31" spans="1:15" x14ac:dyDescent="0.3">
      <c r="F31" t="str">
        <f>Table_Barang[[#This Row],[Kode Barang]]</f>
        <v>KEB020</v>
      </c>
      <c r="G31" t="str">
        <f>IF(TblGabungan[[#This Row],[Kode Barang]]="","",VLOOKUP(TblGabungan[[#This Row],[Kode Barang]],Table_Barang[#All],2,0))</f>
        <v>Disinfektan</v>
      </c>
      <c r="H31" t="str">
        <f>VLOOKUP(TblGabungan[[#This Row],[Kode Barang]],Table_Barang[#All],4,0)</f>
        <v>Pack</v>
      </c>
      <c r="I31" s="9">
        <f>IF(TblGabungan[[#This Row],[Kode Barang]]="","",VLOOKUP(TblGabungan[[#This Row],[Kode Barang]],Table_Barang[#All],5,0))</f>
        <v>132000</v>
      </c>
      <c r="J31">
        <f>IF(TblGabungan[[#This Row],[Kode Barang]]="","",VLOOKUP(TblGabungan[[#This Row],[Kode Barang]],TblStokAkhir[#All],3,0))</f>
        <v>91</v>
      </c>
      <c r="K31">
        <f>IF(TblGabungan[[#This Row],[Kode Barang]]="","",VLOOKUP(TblGabungan[[#This Row],[Kode Barang]],TblStokAkhir[#All],4,0))</f>
        <v>73</v>
      </c>
      <c r="L31">
        <f>IF(TblGabungan[[#This Row],[Kode Barang]]="","",VLOOKUP(TblGabungan[[#This Row],[Kode Barang]],TblStokAkhir[#All],5,0))</f>
        <v>228</v>
      </c>
      <c r="M31">
        <f>IF(TblGabungan[[#This Row],[Kode Barang]]="","",VLOOKUP(TblGabungan[[#This Row],[Kode Barang]],TblStokAkhir[#All],5,0))</f>
        <v>228</v>
      </c>
      <c r="N31">
        <f>IF(TblGabungan[[#This Row],[Kode Barang]]="","",VLOOKUP(TblGabungan[[#This Row],[Kode Barang]],TblStokAkhir[#All],7,0))</f>
        <v>30</v>
      </c>
      <c r="O31" t="str">
        <f>IF(TblGabungan[[#This Row],[Kode Barang]]="","",VLOOKUP(TblGabungan[[#This Row],[Kode Barang]],TblStokAkhir[#All],8,0))</f>
        <v>Aman</v>
      </c>
    </row>
    <row r="32" spans="1:15" x14ac:dyDescent="0.3">
      <c r="F32" t="str">
        <f>Table_Barang[[#This Row],[Kode Barang]]</f>
        <v>PER021</v>
      </c>
      <c r="G32" t="str">
        <f>IF(TblGabungan[[#This Row],[Kode Barang]]="","",VLOOKUP(TblGabungan[[#This Row],[Kode Barang]],Table_Barang[#All],2,0))</f>
        <v>Meja Rapat</v>
      </c>
      <c r="H32" t="str">
        <f>VLOOKUP(TblGabungan[[#This Row],[Kode Barang]],Table_Barang[#All],4,0)</f>
        <v>Unit</v>
      </c>
      <c r="I32" s="9">
        <f>IF(TblGabungan[[#This Row],[Kode Barang]]="","",VLOOKUP(TblGabungan[[#This Row],[Kode Barang]],Table_Barang[#All],5,0))</f>
        <v>55600</v>
      </c>
      <c r="J32">
        <f>IF(TblGabungan[[#This Row],[Kode Barang]]="","",VLOOKUP(TblGabungan[[#This Row],[Kode Barang]],TblStokAkhir[#All],3,0))</f>
        <v>0</v>
      </c>
      <c r="K32">
        <f>IF(TblGabungan[[#This Row],[Kode Barang]]="","",VLOOKUP(TblGabungan[[#This Row],[Kode Barang]],TblStokAkhir[#All],4,0))</f>
        <v>0</v>
      </c>
      <c r="L32">
        <f>IF(TblGabungan[[#This Row],[Kode Barang]]="","",VLOOKUP(TblGabungan[[#This Row],[Kode Barang]],TblStokAkhir[#All],5,0))</f>
        <v>295</v>
      </c>
      <c r="M32">
        <f>IF(TblGabungan[[#This Row],[Kode Barang]]="","",VLOOKUP(TblGabungan[[#This Row],[Kode Barang]],TblStokAkhir[#All],5,0))</f>
        <v>295</v>
      </c>
      <c r="N32">
        <f>IF(TblGabungan[[#This Row],[Kode Barang]]="","",VLOOKUP(TblGabungan[[#This Row],[Kode Barang]],TblStokAkhir[#All],7,0))</f>
        <v>30</v>
      </c>
      <c r="O32" t="str">
        <f>IF(TblGabungan[[#This Row],[Kode Barang]]="","",VLOOKUP(TblGabungan[[#This Row],[Kode Barang]],TblStokAkhir[#All],8,0))</f>
        <v>Aman</v>
      </c>
    </row>
    <row r="33" spans="6:15" x14ac:dyDescent="0.3">
      <c r="F33" t="str">
        <f>Table_Barang[[#This Row],[Kode Barang]]</f>
        <v>LAI022</v>
      </c>
      <c r="G33" t="str">
        <f>IF(TblGabungan[[#This Row],[Kode Barang]]="","",VLOOKUP(TblGabungan[[#This Row],[Kode Barang]],Table_Barang[#All],2,0))</f>
        <v>Kabel Ties</v>
      </c>
      <c r="H33" t="str">
        <f>VLOOKUP(TblGabungan[[#This Row],[Kode Barang]],Table_Barang[#All],4,0)</f>
        <v>Roll</v>
      </c>
      <c r="I33" s="9">
        <f>IF(TblGabungan[[#This Row],[Kode Barang]]="","",VLOOKUP(TblGabungan[[#This Row],[Kode Barang]],Table_Barang[#All],5,0))</f>
        <v>19700</v>
      </c>
      <c r="J33">
        <f>IF(TblGabungan[[#This Row],[Kode Barang]]="","",VLOOKUP(TblGabungan[[#This Row],[Kode Barang]],TblStokAkhir[#All],3,0))</f>
        <v>0</v>
      </c>
      <c r="K33">
        <f>IF(TblGabungan[[#This Row],[Kode Barang]]="","",VLOOKUP(TblGabungan[[#This Row],[Kode Barang]],TblStokAkhir[#All],4,0))</f>
        <v>0</v>
      </c>
      <c r="L33">
        <f>IF(TblGabungan[[#This Row],[Kode Barang]]="","",VLOOKUP(TblGabungan[[#This Row],[Kode Barang]],TblStokAkhir[#All],5,0))</f>
        <v>152</v>
      </c>
      <c r="M33">
        <f>IF(TblGabungan[[#This Row],[Kode Barang]]="","",VLOOKUP(TblGabungan[[#This Row],[Kode Barang]],TblStokAkhir[#All],5,0))</f>
        <v>152</v>
      </c>
      <c r="N33">
        <f>IF(TblGabungan[[#This Row],[Kode Barang]]="","",VLOOKUP(TblGabungan[[#This Row],[Kode Barang]],TblStokAkhir[#All],7,0))</f>
        <v>20</v>
      </c>
      <c r="O33" t="str">
        <f>IF(TblGabungan[[#This Row],[Kode Barang]]="","",VLOOKUP(TblGabungan[[#This Row],[Kode Barang]],TblStokAkhir[#All],8,0))</f>
        <v>Aman</v>
      </c>
    </row>
    <row r="34" spans="6:15" x14ac:dyDescent="0.3">
      <c r="F34" t="str">
        <f>Table_Barang[[#This Row],[Kode Barang]]</f>
        <v>ARS023</v>
      </c>
      <c r="G34" t="str">
        <f>IF(TblGabungan[[#This Row],[Kode Barang]]="","",VLOOKUP(TblGabungan[[#This Row],[Kode Barang]],Table_Barang[#All],2,0))</f>
        <v>Stopmap</v>
      </c>
      <c r="H34" t="str">
        <f>VLOOKUP(TblGabungan[[#This Row],[Kode Barang]],Table_Barang[#All],4,0)</f>
        <v>Box</v>
      </c>
      <c r="I34" s="9">
        <f>IF(TblGabungan[[#This Row],[Kode Barang]]="","",VLOOKUP(TblGabungan[[#This Row],[Kode Barang]],Table_Barang[#All],5,0))</f>
        <v>69600</v>
      </c>
      <c r="J34">
        <f>IF(TblGabungan[[#This Row],[Kode Barang]]="","",VLOOKUP(TblGabungan[[#This Row],[Kode Barang]],TblStokAkhir[#All],3,0))</f>
        <v>0</v>
      </c>
      <c r="K34">
        <f>IF(TblGabungan[[#This Row],[Kode Barang]]="","",VLOOKUP(TblGabungan[[#This Row],[Kode Barang]],TblStokAkhir[#All],4,0))</f>
        <v>20</v>
      </c>
      <c r="L34">
        <f>IF(TblGabungan[[#This Row],[Kode Barang]]="","",VLOOKUP(TblGabungan[[#This Row],[Kode Barang]],TblStokAkhir[#All],5,0))</f>
        <v>249</v>
      </c>
      <c r="M34">
        <f>IF(TblGabungan[[#This Row],[Kode Barang]]="","",VLOOKUP(TblGabungan[[#This Row],[Kode Barang]],TblStokAkhir[#All],5,0))</f>
        <v>249</v>
      </c>
      <c r="N34">
        <f>IF(TblGabungan[[#This Row],[Kode Barang]]="","",VLOOKUP(TblGabungan[[#This Row],[Kode Barang]],TblStokAkhir[#All],7,0))</f>
        <v>30</v>
      </c>
      <c r="O34" t="str">
        <f>IF(TblGabungan[[#This Row],[Kode Barang]]="","",VLOOKUP(TblGabungan[[#This Row],[Kode Barang]],TblStokAkhir[#All],8,0))</f>
        <v>Aman</v>
      </c>
    </row>
    <row r="35" spans="6:15" x14ac:dyDescent="0.3">
      <c r="F35" t="str">
        <f>Table_Barang[[#This Row],[Kode Barang]]</f>
        <v>KEB024</v>
      </c>
      <c r="G35" t="str">
        <f>IF(TblGabungan[[#This Row],[Kode Barang]]="","",VLOOKUP(TblGabungan[[#This Row],[Kode Barang]],Table_Barang[#All],2,0))</f>
        <v>Spons</v>
      </c>
      <c r="H35" t="str">
        <f>VLOOKUP(TblGabungan[[#This Row],[Kode Barang]],Table_Barang[#All],4,0)</f>
        <v>Pcs</v>
      </c>
      <c r="I35" s="9">
        <f>IF(TblGabungan[[#This Row],[Kode Barang]]="","",VLOOKUP(TblGabungan[[#This Row],[Kode Barang]],Table_Barang[#All],5,0))</f>
        <v>175900</v>
      </c>
      <c r="J35">
        <f>IF(TblGabungan[[#This Row],[Kode Barang]]="","",VLOOKUP(TblGabungan[[#This Row],[Kode Barang]],TblStokAkhir[#All],3,0))</f>
        <v>0</v>
      </c>
      <c r="K35">
        <f>IF(TblGabungan[[#This Row],[Kode Barang]]="","",VLOOKUP(TblGabungan[[#This Row],[Kode Barang]],TblStokAkhir[#All],4,0))</f>
        <v>23</v>
      </c>
      <c r="L35">
        <f>IF(TblGabungan[[#This Row],[Kode Barang]]="","",VLOOKUP(TblGabungan[[#This Row],[Kode Barang]],TblStokAkhir[#All],5,0))</f>
        <v>23</v>
      </c>
      <c r="M35">
        <f>IF(TblGabungan[[#This Row],[Kode Barang]]="","",VLOOKUP(TblGabungan[[#This Row],[Kode Barang]],TblStokAkhir[#All],5,0))</f>
        <v>23</v>
      </c>
      <c r="N35">
        <f>IF(TblGabungan[[#This Row],[Kode Barang]]="","",VLOOKUP(TblGabungan[[#This Row],[Kode Barang]],TblStokAkhir[#All],7,0))</f>
        <v>30</v>
      </c>
      <c r="O35" t="str">
        <f>IF(TblGabungan[[#This Row],[Kode Barang]]="","",VLOOKUP(TblGabungan[[#This Row],[Kode Barang]],TblStokAkhir[#All],8,0))</f>
        <v>Habis</v>
      </c>
    </row>
    <row r="36" spans="6:15" x14ac:dyDescent="0.3">
      <c r="F36" t="str">
        <f>Table_Barang[[#This Row],[Kode Barang]]</f>
        <v>KEB025</v>
      </c>
      <c r="G36" t="str">
        <f>IF(TblGabungan[[#This Row],[Kode Barang]]="","",VLOOKUP(TblGabungan[[#This Row],[Kode Barang]],Table_Barang[#All],2,0))</f>
        <v>Kain Lap</v>
      </c>
      <c r="H36" t="str">
        <f>VLOOKUP(TblGabungan[[#This Row],[Kode Barang]],Table_Barang[#All],4,0)</f>
        <v>Liter</v>
      </c>
      <c r="I36" s="9">
        <f>IF(TblGabungan[[#This Row],[Kode Barang]]="","",VLOOKUP(TblGabungan[[#This Row],[Kode Barang]],Table_Barang[#All],5,0))</f>
        <v>134400</v>
      </c>
      <c r="J36">
        <f>IF(TblGabungan[[#This Row],[Kode Barang]]="","",VLOOKUP(TblGabungan[[#This Row],[Kode Barang]],TblStokAkhir[#All],3,0))</f>
        <v>1</v>
      </c>
      <c r="K36">
        <f>IF(TblGabungan[[#This Row],[Kode Barang]]="","",VLOOKUP(TblGabungan[[#This Row],[Kode Barang]],TblStokAkhir[#All],4,0))</f>
        <v>0</v>
      </c>
      <c r="L36">
        <f>IF(TblGabungan[[#This Row],[Kode Barang]]="","",VLOOKUP(TblGabungan[[#This Row],[Kode Barang]],TblStokAkhir[#All],5,0))</f>
        <v>218</v>
      </c>
      <c r="M36">
        <f>IF(TblGabungan[[#This Row],[Kode Barang]]="","",VLOOKUP(TblGabungan[[#This Row],[Kode Barang]],TblStokAkhir[#All],5,0))</f>
        <v>218</v>
      </c>
      <c r="N36">
        <f>IF(TblGabungan[[#This Row],[Kode Barang]]="","",VLOOKUP(TblGabungan[[#This Row],[Kode Barang]],TblStokAkhir[#All],7,0))</f>
        <v>30</v>
      </c>
      <c r="O36" t="str">
        <f>IF(TblGabungan[[#This Row],[Kode Barang]]="","",VLOOKUP(TblGabungan[[#This Row],[Kode Barang]],TblStokAkhir[#All],8,0))</f>
        <v>Aman</v>
      </c>
    </row>
    <row r="37" spans="6:15" x14ac:dyDescent="0.3">
      <c r="F37" t="str">
        <f>Table_Barang[[#This Row],[Kode Barang]]</f>
        <v>LAI026</v>
      </c>
      <c r="G37" t="str">
        <f>IF(TblGabungan[[#This Row],[Kode Barang]]="","",VLOOKUP(TblGabungan[[#This Row],[Kode Barang]],Table_Barang[#All],2,0))</f>
        <v>Double Tape</v>
      </c>
      <c r="H37" t="str">
        <f>VLOOKUP(TblGabungan[[#This Row],[Kode Barang]],Table_Barang[#All],4,0)</f>
        <v>Roll</v>
      </c>
      <c r="I37" s="9">
        <f>IF(TblGabungan[[#This Row],[Kode Barang]]="","",VLOOKUP(TblGabungan[[#This Row],[Kode Barang]],Table_Barang[#All],5,0))</f>
        <v>152300</v>
      </c>
      <c r="J37">
        <f>IF(TblGabungan[[#This Row],[Kode Barang]]="","",VLOOKUP(TblGabungan[[#This Row],[Kode Barang]],TblStokAkhir[#All],3,0))</f>
        <v>0</v>
      </c>
      <c r="K37">
        <f>IF(TblGabungan[[#This Row],[Kode Barang]]="","",VLOOKUP(TblGabungan[[#This Row],[Kode Barang]],TblStokAkhir[#All],4,0))</f>
        <v>54</v>
      </c>
      <c r="L37">
        <f>IF(TblGabungan[[#This Row],[Kode Barang]]="","",VLOOKUP(TblGabungan[[#This Row],[Kode Barang]],TblStokAkhir[#All],5,0))</f>
        <v>54</v>
      </c>
      <c r="M37">
        <f>IF(TblGabungan[[#This Row],[Kode Barang]]="","",VLOOKUP(TblGabungan[[#This Row],[Kode Barang]],TblStokAkhir[#All],5,0))</f>
        <v>54</v>
      </c>
      <c r="N37">
        <f>IF(TblGabungan[[#This Row],[Kode Barang]]="","",VLOOKUP(TblGabungan[[#This Row],[Kode Barang]],TblStokAkhir[#All],7,0))</f>
        <v>10</v>
      </c>
      <c r="O37" t="str">
        <f>IF(TblGabungan[[#This Row],[Kode Barang]]="","",VLOOKUP(TblGabungan[[#This Row],[Kode Barang]],TblStokAkhir[#All],8,0))</f>
        <v>Habis</v>
      </c>
    </row>
    <row r="38" spans="6:15" x14ac:dyDescent="0.3">
      <c r="F38" t="str">
        <f>Table_Barang[[#This Row],[Kode Barang]]</f>
        <v>ELE027</v>
      </c>
      <c r="G38" t="str">
        <f>IF(TblGabungan[[#This Row],[Kode Barang]]="","",VLOOKUP(TblGabungan[[#This Row],[Kode Barang]],Table_Barang[#All],2,0))</f>
        <v>Kabel HDMI</v>
      </c>
      <c r="H38" t="str">
        <f>VLOOKUP(TblGabungan[[#This Row],[Kode Barang]],Table_Barang[#All],4,0)</f>
        <v>Unit</v>
      </c>
      <c r="I38" s="9">
        <f>IF(TblGabungan[[#This Row],[Kode Barang]]="","",VLOOKUP(TblGabungan[[#This Row],[Kode Barang]],Table_Barang[#All],5,0))</f>
        <v>4800</v>
      </c>
      <c r="J38">
        <f>IF(TblGabungan[[#This Row],[Kode Barang]]="","",VLOOKUP(TblGabungan[[#This Row],[Kode Barang]],TblStokAkhir[#All],3,0))</f>
        <v>22</v>
      </c>
      <c r="K38">
        <f>IF(TblGabungan[[#This Row],[Kode Barang]]="","",VLOOKUP(TblGabungan[[#This Row],[Kode Barang]],TblStokAkhir[#All],4,0))</f>
        <v>52</v>
      </c>
      <c r="L38">
        <f>IF(TblGabungan[[#This Row],[Kode Barang]]="","",VLOOKUP(TblGabungan[[#This Row],[Kode Barang]],TblStokAkhir[#All],5,0))</f>
        <v>114</v>
      </c>
      <c r="M38">
        <f>IF(TblGabungan[[#This Row],[Kode Barang]]="","",VLOOKUP(TblGabungan[[#This Row],[Kode Barang]],TblStokAkhir[#All],5,0))</f>
        <v>114</v>
      </c>
      <c r="N38">
        <f>IF(TblGabungan[[#This Row],[Kode Barang]]="","",VLOOKUP(TblGabungan[[#This Row],[Kode Barang]],TblStokAkhir[#All],7,0))</f>
        <v>20</v>
      </c>
      <c r="O38" t="str">
        <f>IF(TblGabungan[[#This Row],[Kode Barang]]="","",VLOOKUP(TblGabungan[[#This Row],[Kode Barang]],TblStokAkhir[#All],8,0))</f>
        <v>Aman</v>
      </c>
    </row>
    <row r="39" spans="6:15" x14ac:dyDescent="0.3">
      <c r="F39" t="str">
        <f>Table_Barang[[#This Row],[Kode Barang]]</f>
        <v>ATK028</v>
      </c>
      <c r="G39" t="str">
        <f>IF(TblGabungan[[#This Row],[Kode Barang]]="","",VLOOKUP(TblGabungan[[#This Row],[Kode Barang]],Table_Barang[#All],2,0))</f>
        <v>Pulpen Biru</v>
      </c>
      <c r="H39" t="str">
        <f>VLOOKUP(TblGabungan[[#This Row],[Kode Barang]],Table_Barang[#All],4,0)</f>
        <v>Pcs</v>
      </c>
      <c r="I39" s="9">
        <f>IF(TblGabungan[[#This Row],[Kode Barang]]="","",VLOOKUP(TblGabungan[[#This Row],[Kode Barang]],Table_Barang[#All],5,0))</f>
        <v>65000</v>
      </c>
      <c r="J39">
        <f>IF(TblGabungan[[#This Row],[Kode Barang]]="","",VLOOKUP(TblGabungan[[#This Row],[Kode Barang]],TblStokAkhir[#All],3,0))</f>
        <v>0</v>
      </c>
      <c r="K39">
        <f>IF(TblGabungan[[#This Row],[Kode Barang]]="","",VLOOKUP(TblGabungan[[#This Row],[Kode Barang]],TblStokAkhir[#All],4,0))</f>
        <v>0</v>
      </c>
      <c r="L39">
        <f>IF(TblGabungan[[#This Row],[Kode Barang]]="","",VLOOKUP(TblGabungan[[#This Row],[Kode Barang]],TblStokAkhir[#All],5,0))</f>
        <v>270</v>
      </c>
      <c r="M39">
        <f>IF(TblGabungan[[#This Row],[Kode Barang]]="","",VLOOKUP(TblGabungan[[#This Row],[Kode Barang]],TblStokAkhir[#All],5,0))</f>
        <v>270</v>
      </c>
      <c r="N39">
        <f>IF(TblGabungan[[#This Row],[Kode Barang]]="","",VLOOKUP(TblGabungan[[#This Row],[Kode Barang]],TblStokAkhir[#All],7,0))</f>
        <v>20</v>
      </c>
      <c r="O39" t="str">
        <f>IF(TblGabungan[[#This Row],[Kode Barang]]="","",VLOOKUP(TblGabungan[[#This Row],[Kode Barang]],TblStokAkhir[#All],8,0))</f>
        <v>Aman</v>
      </c>
    </row>
    <row r="40" spans="6:15" x14ac:dyDescent="0.3">
      <c r="F40" t="str">
        <f>Table_Barang[[#This Row],[Kode Barang]]</f>
        <v>ATK029</v>
      </c>
      <c r="G40" t="str">
        <f>IF(TblGabungan[[#This Row],[Kode Barang]]="","",VLOOKUP(TblGabungan[[#This Row],[Kode Barang]],Table_Barang[#All],2,0))</f>
        <v>Map Plastik</v>
      </c>
      <c r="H40" t="str">
        <f>VLOOKUP(TblGabungan[[#This Row],[Kode Barang]],Table_Barang[#All],4,0)</f>
        <v>Pack</v>
      </c>
      <c r="I40" s="9">
        <f>IF(TblGabungan[[#This Row],[Kode Barang]]="","",VLOOKUP(TblGabungan[[#This Row],[Kode Barang]],Table_Barang[#All],5,0))</f>
        <v>84000</v>
      </c>
      <c r="J40">
        <f>IF(TblGabungan[[#This Row],[Kode Barang]]="","",VLOOKUP(TblGabungan[[#This Row],[Kode Barang]],TblStokAkhir[#All],3,0))</f>
        <v>0</v>
      </c>
      <c r="K40">
        <f>IF(TblGabungan[[#This Row],[Kode Barang]]="","",VLOOKUP(TblGabungan[[#This Row],[Kode Barang]],TblStokAkhir[#All],4,0))</f>
        <v>0</v>
      </c>
      <c r="L40">
        <f>IF(TblGabungan[[#This Row],[Kode Barang]]="","",VLOOKUP(TblGabungan[[#This Row],[Kode Barang]],TblStokAkhir[#All],5,0))</f>
        <v>70</v>
      </c>
      <c r="M40">
        <f>IF(TblGabungan[[#This Row],[Kode Barang]]="","",VLOOKUP(TblGabungan[[#This Row],[Kode Barang]],TblStokAkhir[#All],5,0))</f>
        <v>70</v>
      </c>
      <c r="N40">
        <f>IF(TblGabungan[[#This Row],[Kode Barang]]="","",VLOOKUP(TblGabungan[[#This Row],[Kode Barang]],TblStokAkhir[#All],7,0))</f>
        <v>30</v>
      </c>
      <c r="O40" t="str">
        <f>IF(TblGabungan[[#This Row],[Kode Barang]]="","",VLOOKUP(TblGabungan[[#This Row],[Kode Barang]],TblStokAkhir[#All],8,0))</f>
        <v>Aman</v>
      </c>
    </row>
    <row r="41" spans="6:15" x14ac:dyDescent="0.3">
      <c r="F41" t="str">
        <f>Table_Barang[[#This Row],[Kode Barang]]</f>
        <v>PER030</v>
      </c>
      <c r="G41" t="str">
        <f>IF(TblGabungan[[#This Row],[Kode Barang]]="","",VLOOKUP(TblGabungan[[#This Row],[Kode Barang]],Table_Barang[#All],2,0))</f>
        <v>Kursi Plastik</v>
      </c>
      <c r="H41" t="str">
        <f>VLOOKUP(TblGabungan[[#This Row],[Kode Barang]],Table_Barang[#All],4,0)</f>
        <v>Unit</v>
      </c>
      <c r="I41" s="9">
        <f>IF(TblGabungan[[#This Row],[Kode Barang]]="","",VLOOKUP(TblGabungan[[#This Row],[Kode Barang]],Table_Barang[#All],5,0))</f>
        <v>107600</v>
      </c>
      <c r="J41">
        <f>IF(TblGabungan[[#This Row],[Kode Barang]]="","",VLOOKUP(TblGabungan[[#This Row],[Kode Barang]],TblStokAkhir[#All],3,0))</f>
        <v>0</v>
      </c>
      <c r="K41">
        <f>IF(TblGabungan[[#This Row],[Kode Barang]]="","",VLOOKUP(TblGabungan[[#This Row],[Kode Barang]],TblStokAkhir[#All],4,0))</f>
        <v>0</v>
      </c>
      <c r="L41">
        <f>IF(TblGabungan[[#This Row],[Kode Barang]]="","",VLOOKUP(TblGabungan[[#This Row],[Kode Barang]],TblStokAkhir[#All],5,0))</f>
        <v>165</v>
      </c>
      <c r="M41">
        <f>IF(TblGabungan[[#This Row],[Kode Barang]]="","",VLOOKUP(TblGabungan[[#This Row],[Kode Barang]],TblStokAkhir[#All],5,0))</f>
        <v>165</v>
      </c>
      <c r="N41">
        <f>IF(TblGabungan[[#This Row],[Kode Barang]]="","",VLOOKUP(TblGabungan[[#This Row],[Kode Barang]],TblStokAkhir[#All],7,0))</f>
        <v>30</v>
      </c>
      <c r="O41" t="str">
        <f>IF(TblGabungan[[#This Row],[Kode Barang]]="","",VLOOKUP(TblGabungan[[#This Row],[Kode Barang]],TblStokAkhir[#All],8,0))</f>
        <v>Aman</v>
      </c>
    </row>
    <row r="42" spans="6:15" x14ac:dyDescent="0.3">
      <c r="F42" t="str">
        <f>Table_Barang[[#This Row],[Kode Barang]]</f>
        <v>ELE031</v>
      </c>
      <c r="G42" t="str">
        <f>IF(TblGabungan[[#This Row],[Kode Barang]]="","",VLOOKUP(TblGabungan[[#This Row],[Kode Barang]],Table_Barang[#All],2,0))</f>
        <v>Mouse Wireless</v>
      </c>
      <c r="H42" t="str">
        <f>VLOOKUP(TblGabungan[[#This Row],[Kode Barang]],Table_Barang[#All],4,0)</f>
        <v>Set</v>
      </c>
      <c r="I42" s="9">
        <f>IF(TblGabungan[[#This Row],[Kode Barang]]="","",VLOOKUP(TblGabungan[[#This Row],[Kode Barang]],Table_Barang[#All],5,0))</f>
        <v>5600</v>
      </c>
      <c r="J42">
        <f>IF(TblGabungan[[#This Row],[Kode Barang]]="","",VLOOKUP(TblGabungan[[#This Row],[Kode Barang]],TblStokAkhir[#All],3,0))</f>
        <v>0</v>
      </c>
      <c r="K42">
        <f>IF(TblGabungan[[#This Row],[Kode Barang]]="","",VLOOKUP(TblGabungan[[#This Row],[Kode Barang]],TblStokAkhir[#All],4,0))</f>
        <v>25</v>
      </c>
      <c r="L42">
        <f>IF(TblGabungan[[#This Row],[Kode Barang]]="","",VLOOKUP(TblGabungan[[#This Row],[Kode Barang]],TblStokAkhir[#All],5,0))</f>
        <v>272</v>
      </c>
      <c r="M42">
        <f>IF(TblGabungan[[#This Row],[Kode Barang]]="","",VLOOKUP(TblGabungan[[#This Row],[Kode Barang]],TblStokAkhir[#All],5,0))</f>
        <v>272</v>
      </c>
      <c r="N42">
        <f>IF(TblGabungan[[#This Row],[Kode Barang]]="","",VLOOKUP(TblGabungan[[#This Row],[Kode Barang]],TblStokAkhir[#All],7,0))</f>
        <v>10</v>
      </c>
      <c r="O42" t="str">
        <f>IF(TblGabungan[[#This Row],[Kode Barang]]="","",VLOOKUP(TblGabungan[[#This Row],[Kode Barang]],TblStokAkhir[#All],8,0))</f>
        <v>Aman</v>
      </c>
    </row>
    <row r="43" spans="6:15" x14ac:dyDescent="0.3">
      <c r="F43" t="str">
        <f>Table_Barang[[#This Row],[Kode Barang]]</f>
        <v>ATK032</v>
      </c>
      <c r="G43" t="str">
        <f>IF(TblGabungan[[#This Row],[Kode Barang]]="","",VLOOKUP(TblGabungan[[#This Row],[Kode Barang]],Table_Barang[#All],2,0))</f>
        <v>Penghapus</v>
      </c>
      <c r="H43" t="str">
        <f>VLOOKUP(TblGabungan[[#This Row],[Kode Barang]],Table_Barang[#All],4,0)</f>
        <v>Pcs</v>
      </c>
      <c r="I43" s="9">
        <f>IF(TblGabungan[[#This Row],[Kode Barang]]="","",VLOOKUP(TblGabungan[[#This Row],[Kode Barang]],Table_Barang[#All],5,0))</f>
        <v>188000</v>
      </c>
      <c r="J43">
        <f>IF(TblGabungan[[#This Row],[Kode Barang]]="","",VLOOKUP(TblGabungan[[#This Row],[Kode Barang]],TblStokAkhir[#All],3,0))</f>
        <v>0</v>
      </c>
      <c r="K43">
        <f>IF(TblGabungan[[#This Row],[Kode Barang]]="","",VLOOKUP(TblGabungan[[#This Row],[Kode Barang]],TblStokAkhir[#All],4,0))</f>
        <v>0</v>
      </c>
      <c r="L43">
        <f>IF(TblGabungan[[#This Row],[Kode Barang]]="","",VLOOKUP(TblGabungan[[#This Row],[Kode Barang]],TblStokAkhir[#All],5,0))</f>
        <v>56</v>
      </c>
      <c r="M43">
        <f>IF(TblGabungan[[#This Row],[Kode Barang]]="","",VLOOKUP(TblGabungan[[#This Row],[Kode Barang]],TblStokAkhir[#All],5,0))</f>
        <v>56</v>
      </c>
      <c r="N43">
        <f>IF(TblGabungan[[#This Row],[Kode Barang]]="","",VLOOKUP(TblGabungan[[#This Row],[Kode Barang]],TblStokAkhir[#All],7,0))</f>
        <v>30</v>
      </c>
      <c r="O43" t="str">
        <f>IF(TblGabungan[[#This Row],[Kode Barang]]="","",VLOOKUP(TblGabungan[[#This Row],[Kode Barang]],TblStokAkhir[#All],8,0))</f>
        <v>Aman</v>
      </c>
    </row>
    <row r="44" spans="6:15" x14ac:dyDescent="0.3">
      <c r="F44" t="str">
        <f>Table_Barang[[#This Row],[Kode Barang]]</f>
        <v>PER033</v>
      </c>
      <c r="G44" t="str">
        <f>IF(TblGabungan[[#This Row],[Kode Barang]]="","",VLOOKUP(TblGabungan[[#This Row],[Kode Barang]],Table_Barang[#All],2,0))</f>
        <v>Rak Sepatu</v>
      </c>
      <c r="H44" t="str">
        <f>VLOOKUP(TblGabungan[[#This Row],[Kode Barang]],Table_Barang[#All],4,0)</f>
        <v>Unit</v>
      </c>
      <c r="I44" s="9">
        <f>IF(TblGabungan[[#This Row],[Kode Barang]]="","",VLOOKUP(TblGabungan[[#This Row],[Kode Barang]],Table_Barang[#All],5,0))</f>
        <v>199500</v>
      </c>
      <c r="J44">
        <f>IF(TblGabungan[[#This Row],[Kode Barang]]="","",VLOOKUP(TblGabungan[[#This Row],[Kode Barang]],TblStokAkhir[#All],3,0))</f>
        <v>0</v>
      </c>
      <c r="K44">
        <f>IF(TblGabungan[[#This Row],[Kode Barang]]="","",VLOOKUP(TblGabungan[[#This Row],[Kode Barang]],TblStokAkhir[#All],4,0))</f>
        <v>0</v>
      </c>
      <c r="L44">
        <f>IF(TblGabungan[[#This Row],[Kode Barang]]="","",VLOOKUP(TblGabungan[[#This Row],[Kode Barang]],TblStokAkhir[#All],5,0))</f>
        <v>295</v>
      </c>
      <c r="M44">
        <f>IF(TblGabungan[[#This Row],[Kode Barang]]="","",VLOOKUP(TblGabungan[[#This Row],[Kode Barang]],TblStokAkhir[#All],5,0))</f>
        <v>295</v>
      </c>
      <c r="N44">
        <f>IF(TblGabungan[[#This Row],[Kode Barang]]="","",VLOOKUP(TblGabungan[[#This Row],[Kode Barang]],TblStokAkhir[#All],7,0))</f>
        <v>20</v>
      </c>
      <c r="O44" t="str">
        <f>IF(TblGabungan[[#This Row],[Kode Barang]]="","",VLOOKUP(TblGabungan[[#This Row],[Kode Barang]],TblStokAkhir[#All],8,0))</f>
        <v>Aman</v>
      </c>
    </row>
    <row r="45" spans="6:15" x14ac:dyDescent="0.3">
      <c r="F45" t="str">
        <f>Table_Barang[[#This Row],[Kode Barang]]</f>
        <v>LAI034</v>
      </c>
      <c r="G45" t="str">
        <f>IF(TblGabungan[[#This Row],[Kode Barang]]="","",VLOOKUP(TblGabungan[[#This Row],[Kode Barang]],Table_Barang[#All],2,0))</f>
        <v>Kabel Ties</v>
      </c>
      <c r="H45" t="str">
        <f>VLOOKUP(TblGabungan[[#This Row],[Kode Barang]],Table_Barang[#All],4,0)</f>
        <v>Roll</v>
      </c>
      <c r="I45" s="9">
        <f>IF(TblGabungan[[#This Row],[Kode Barang]]="","",VLOOKUP(TblGabungan[[#This Row],[Kode Barang]],Table_Barang[#All],5,0))</f>
        <v>197600</v>
      </c>
      <c r="J45">
        <f>IF(TblGabungan[[#This Row],[Kode Barang]]="","",VLOOKUP(TblGabungan[[#This Row],[Kode Barang]],TblStokAkhir[#All],3,0))</f>
        <v>15</v>
      </c>
      <c r="K45">
        <f>IF(TblGabungan[[#This Row],[Kode Barang]]="","",VLOOKUP(TblGabungan[[#This Row],[Kode Barang]],TblStokAkhir[#All],4,0))</f>
        <v>0</v>
      </c>
      <c r="L45">
        <f>IF(TblGabungan[[#This Row],[Kode Barang]]="","",VLOOKUP(TblGabungan[[#This Row],[Kode Barang]],TblStokAkhir[#All],5,0))</f>
        <v>29</v>
      </c>
      <c r="M45">
        <f>IF(TblGabungan[[#This Row],[Kode Barang]]="","",VLOOKUP(TblGabungan[[#This Row],[Kode Barang]],TblStokAkhir[#All],5,0))</f>
        <v>29</v>
      </c>
      <c r="N45">
        <f>IF(TblGabungan[[#This Row],[Kode Barang]]="","",VLOOKUP(TblGabungan[[#This Row],[Kode Barang]],TblStokAkhir[#All],7,0))</f>
        <v>20</v>
      </c>
      <c r="O45" t="str">
        <f>IF(TblGabungan[[#This Row],[Kode Barang]]="","",VLOOKUP(TblGabungan[[#This Row],[Kode Barang]],TblStokAkhir[#All],8,0))</f>
        <v>Aman</v>
      </c>
    </row>
    <row r="46" spans="6:15" x14ac:dyDescent="0.3">
      <c r="F46" t="str">
        <f>Table_Barang[[#This Row],[Kode Barang]]</f>
        <v>ELE035</v>
      </c>
      <c r="G46" t="str">
        <f>IF(TblGabungan[[#This Row],[Kode Barang]]="","",VLOOKUP(TblGabungan[[#This Row],[Kode Barang]],Table_Barang[#All],2,0))</f>
        <v>Kabel HDMI</v>
      </c>
      <c r="H46" t="str">
        <f>VLOOKUP(TblGabungan[[#This Row],[Kode Barang]],Table_Barang[#All],4,0)</f>
        <v>Unit</v>
      </c>
      <c r="I46" s="9">
        <f>IF(TblGabungan[[#This Row],[Kode Barang]]="","",VLOOKUP(TblGabungan[[#This Row],[Kode Barang]],Table_Barang[#All],5,0))</f>
        <v>105400</v>
      </c>
      <c r="J46">
        <f>IF(TblGabungan[[#This Row],[Kode Barang]]="","",VLOOKUP(TblGabungan[[#This Row],[Kode Barang]],TblStokAkhir[#All],3,0))</f>
        <v>74</v>
      </c>
      <c r="K46">
        <f>IF(TblGabungan[[#This Row],[Kode Barang]]="","",VLOOKUP(TblGabungan[[#This Row],[Kode Barang]],TblStokAkhir[#All],4,0))</f>
        <v>44</v>
      </c>
      <c r="L46">
        <f>IF(TblGabungan[[#This Row],[Kode Barang]]="","",VLOOKUP(TblGabungan[[#This Row],[Kode Barang]],TblStokAkhir[#All],5,0))</f>
        <v>214</v>
      </c>
      <c r="M46">
        <f>IF(TblGabungan[[#This Row],[Kode Barang]]="","",VLOOKUP(TblGabungan[[#This Row],[Kode Barang]],TblStokAkhir[#All],5,0))</f>
        <v>214</v>
      </c>
      <c r="N46">
        <f>IF(TblGabungan[[#This Row],[Kode Barang]]="","",VLOOKUP(TblGabungan[[#This Row],[Kode Barang]],TblStokAkhir[#All],7,0))</f>
        <v>30</v>
      </c>
      <c r="O46" t="str">
        <f>IF(TblGabungan[[#This Row],[Kode Barang]]="","",VLOOKUP(TblGabungan[[#This Row],[Kode Barang]],TblStokAkhir[#All],8,0))</f>
        <v>Aman</v>
      </c>
    </row>
    <row r="47" spans="6:15" x14ac:dyDescent="0.3">
      <c r="F47" t="str">
        <f>Table_Barang[[#This Row],[Kode Barang]]</f>
        <v>ARS036</v>
      </c>
      <c r="G47" t="str">
        <f>IF(TblGabungan[[#This Row],[Kode Barang]]="","",VLOOKUP(TblGabungan[[#This Row],[Kode Barang]],Table_Barang[#All],2,0))</f>
        <v>Binder Arsip</v>
      </c>
      <c r="H47" t="str">
        <f>VLOOKUP(TblGabungan[[#This Row],[Kode Barang]],Table_Barang[#All],4,0)</f>
        <v>Set</v>
      </c>
      <c r="I47" s="9">
        <f>IF(TblGabungan[[#This Row],[Kode Barang]]="","",VLOOKUP(TblGabungan[[#This Row],[Kode Barang]],Table_Barang[#All],5,0))</f>
        <v>51800</v>
      </c>
      <c r="J47">
        <f>IF(TblGabungan[[#This Row],[Kode Barang]]="","",VLOOKUP(TblGabungan[[#This Row],[Kode Barang]],TblStokAkhir[#All],3,0))</f>
        <v>25</v>
      </c>
      <c r="K47">
        <f>IF(TblGabungan[[#This Row],[Kode Barang]]="","",VLOOKUP(TblGabungan[[#This Row],[Kode Barang]],TblStokAkhir[#All],4,0))</f>
        <v>0</v>
      </c>
      <c r="L47">
        <f>IF(TblGabungan[[#This Row],[Kode Barang]]="","",VLOOKUP(TblGabungan[[#This Row],[Kode Barang]],TblStokAkhir[#All],5,0))</f>
        <v>295</v>
      </c>
      <c r="M47">
        <f>IF(TblGabungan[[#This Row],[Kode Barang]]="","",VLOOKUP(TblGabungan[[#This Row],[Kode Barang]],TblStokAkhir[#All],5,0))</f>
        <v>295</v>
      </c>
      <c r="N47">
        <f>IF(TblGabungan[[#This Row],[Kode Barang]]="","",VLOOKUP(TblGabungan[[#This Row],[Kode Barang]],TblStokAkhir[#All],7,0))</f>
        <v>30</v>
      </c>
      <c r="O47" t="str">
        <f>IF(TblGabungan[[#This Row],[Kode Barang]]="","",VLOOKUP(TblGabungan[[#This Row],[Kode Barang]],TblStokAkhir[#All],8,0))</f>
        <v>Aman</v>
      </c>
    </row>
    <row r="48" spans="6:15" x14ac:dyDescent="0.3">
      <c r="F48" t="str">
        <f>Table_Barang[[#This Row],[Kode Barang]]</f>
        <v>ARS037</v>
      </c>
      <c r="G48" t="str">
        <f>IF(TblGabungan[[#This Row],[Kode Barang]]="","",VLOOKUP(TblGabungan[[#This Row],[Kode Barang]],Table_Barang[#All],2,0))</f>
        <v>Ordner</v>
      </c>
      <c r="H48" t="str">
        <f>VLOOKUP(TblGabungan[[#This Row],[Kode Barang]],Table_Barang[#All],4,0)</f>
        <v>Pack</v>
      </c>
      <c r="I48" s="9">
        <f>IF(TblGabungan[[#This Row],[Kode Barang]]="","",VLOOKUP(TblGabungan[[#This Row],[Kode Barang]],Table_Barang[#All],5,0))</f>
        <v>68200</v>
      </c>
      <c r="J48">
        <f>IF(TblGabungan[[#This Row],[Kode Barang]]="","",VLOOKUP(TblGabungan[[#This Row],[Kode Barang]],TblStokAkhir[#All],3,0))</f>
        <v>0</v>
      </c>
      <c r="K48">
        <f>IF(TblGabungan[[#This Row],[Kode Barang]]="","",VLOOKUP(TblGabungan[[#This Row],[Kode Barang]],TblStokAkhir[#All],4,0))</f>
        <v>0</v>
      </c>
      <c r="L48">
        <f>IF(TblGabungan[[#This Row],[Kode Barang]]="","",VLOOKUP(TblGabungan[[#This Row],[Kode Barang]],TblStokAkhir[#All],5,0))</f>
        <v>147</v>
      </c>
      <c r="M48">
        <f>IF(TblGabungan[[#This Row],[Kode Barang]]="","",VLOOKUP(TblGabungan[[#This Row],[Kode Barang]],TblStokAkhir[#All],5,0))</f>
        <v>147</v>
      </c>
      <c r="N48">
        <f>IF(TblGabungan[[#This Row],[Kode Barang]]="","",VLOOKUP(TblGabungan[[#This Row],[Kode Barang]],TblStokAkhir[#All],7,0))</f>
        <v>20</v>
      </c>
      <c r="O48" t="str">
        <f>IF(TblGabungan[[#This Row],[Kode Barang]]="","",VLOOKUP(TblGabungan[[#This Row],[Kode Barang]],TblStokAkhir[#All],8,0))</f>
        <v>Aman</v>
      </c>
    </row>
    <row r="49" spans="6:15" x14ac:dyDescent="0.3">
      <c r="F49" t="str">
        <f>Table_Barang[[#This Row],[Kode Barang]]</f>
        <v>ELE038</v>
      </c>
      <c r="G49" t="str">
        <f>IF(TblGabungan[[#This Row],[Kode Barang]]="","",VLOOKUP(TblGabungan[[#This Row],[Kode Barang]],Table_Barang[#All],2,0))</f>
        <v>Adaptor 5V</v>
      </c>
      <c r="H49" t="str">
        <f>VLOOKUP(TblGabungan[[#This Row],[Kode Barang]],Table_Barang[#All],4,0)</f>
        <v>Unit</v>
      </c>
      <c r="I49" s="9">
        <f>IF(TblGabungan[[#This Row],[Kode Barang]]="","",VLOOKUP(TblGabungan[[#This Row],[Kode Barang]],Table_Barang[#All],5,0))</f>
        <v>20400</v>
      </c>
      <c r="J49">
        <f>IF(TblGabungan[[#This Row],[Kode Barang]]="","",VLOOKUP(TblGabungan[[#This Row],[Kode Barang]],TblStokAkhir[#All],3,0))</f>
        <v>0</v>
      </c>
      <c r="K49">
        <f>IF(TblGabungan[[#This Row],[Kode Barang]]="","",VLOOKUP(TblGabungan[[#This Row],[Kode Barang]],TblStokAkhir[#All],4,0))</f>
        <v>50</v>
      </c>
      <c r="L49">
        <f>IF(TblGabungan[[#This Row],[Kode Barang]]="","",VLOOKUP(TblGabungan[[#This Row],[Kode Barang]],TblStokAkhir[#All],5,0))</f>
        <v>290</v>
      </c>
      <c r="M49">
        <f>IF(TblGabungan[[#This Row],[Kode Barang]]="","",VLOOKUP(TblGabungan[[#This Row],[Kode Barang]],TblStokAkhir[#All],5,0))</f>
        <v>290</v>
      </c>
      <c r="N49">
        <f>IF(TblGabungan[[#This Row],[Kode Barang]]="","",VLOOKUP(TblGabungan[[#This Row],[Kode Barang]],TblStokAkhir[#All],7,0))</f>
        <v>10</v>
      </c>
      <c r="O49" t="str">
        <f>IF(TblGabungan[[#This Row],[Kode Barang]]="","",VLOOKUP(TblGabungan[[#This Row],[Kode Barang]],TblStokAkhir[#All],8,0))</f>
        <v>Aman</v>
      </c>
    </row>
    <row r="50" spans="6:15" x14ac:dyDescent="0.3">
      <c r="F50" t="str">
        <f>Table_Barang[[#This Row],[Kode Barang]]</f>
        <v>LAI039</v>
      </c>
      <c r="G50" t="str">
        <f>IF(TblGabungan[[#This Row],[Kode Barang]]="","",VLOOKUP(TblGabungan[[#This Row],[Kode Barang]],Table_Barang[#All],2,0))</f>
        <v>Karet Gelang</v>
      </c>
      <c r="H50" t="str">
        <f>VLOOKUP(TblGabungan[[#This Row],[Kode Barang]],Table_Barang[#All],4,0)</f>
        <v>Roll</v>
      </c>
      <c r="I50" s="9">
        <f>IF(TblGabungan[[#This Row],[Kode Barang]]="","",VLOOKUP(TblGabungan[[#This Row],[Kode Barang]],Table_Barang[#All],5,0))</f>
        <v>190200</v>
      </c>
      <c r="J50">
        <f>IF(TblGabungan[[#This Row],[Kode Barang]]="","",VLOOKUP(TblGabungan[[#This Row],[Kode Barang]],TblStokAkhir[#All],3,0))</f>
        <v>200</v>
      </c>
      <c r="K50">
        <f>IF(TblGabungan[[#This Row],[Kode Barang]]="","",VLOOKUP(TblGabungan[[#This Row],[Kode Barang]],TblStokAkhir[#All],4,0))</f>
        <v>0</v>
      </c>
      <c r="L50">
        <f>IF(TblGabungan[[#This Row],[Kode Barang]]="","",VLOOKUP(TblGabungan[[#This Row],[Kode Barang]],TblStokAkhir[#All],5,0))</f>
        <v>240</v>
      </c>
      <c r="M50">
        <f>IF(TblGabungan[[#This Row],[Kode Barang]]="","",VLOOKUP(TblGabungan[[#This Row],[Kode Barang]],TblStokAkhir[#All],5,0))</f>
        <v>240</v>
      </c>
      <c r="N50">
        <f>IF(TblGabungan[[#This Row],[Kode Barang]]="","",VLOOKUP(TblGabungan[[#This Row],[Kode Barang]],TblStokAkhir[#All],7,0))</f>
        <v>20</v>
      </c>
      <c r="O50" t="str">
        <f>IF(TblGabungan[[#This Row],[Kode Barang]]="","",VLOOKUP(TblGabungan[[#This Row],[Kode Barang]],TblStokAkhir[#All],8,0))</f>
        <v>Aman</v>
      </c>
    </row>
    <row r="51" spans="6:15" x14ac:dyDescent="0.3">
      <c r="F51" t="str">
        <f>Table_Barang[[#This Row],[Kode Barang]]</f>
        <v>PER040</v>
      </c>
      <c r="G51" t="str">
        <f>IF(TblGabungan[[#This Row],[Kode Barang]]="","",VLOOKUP(TblGabungan[[#This Row],[Kode Barang]],Table_Barang[#All],2,0))</f>
        <v>Kursi Kantor</v>
      </c>
      <c r="H51" t="str">
        <f>VLOOKUP(TblGabungan[[#This Row],[Kode Barang]],Table_Barang[#All],4,0)</f>
        <v>Set</v>
      </c>
      <c r="I51" s="9">
        <f>IF(TblGabungan[[#This Row],[Kode Barang]]="","",VLOOKUP(TblGabungan[[#This Row],[Kode Barang]],Table_Barang[#All],5,0))</f>
        <v>64600</v>
      </c>
      <c r="J51">
        <f>IF(TblGabungan[[#This Row],[Kode Barang]]="","",VLOOKUP(TblGabungan[[#This Row],[Kode Barang]],TblStokAkhir[#All],3,0))</f>
        <v>0</v>
      </c>
      <c r="K51">
        <f>IF(TblGabungan[[#This Row],[Kode Barang]]="","",VLOOKUP(TblGabungan[[#This Row],[Kode Barang]],TblStokAkhir[#All],4,0))</f>
        <v>0</v>
      </c>
      <c r="L51">
        <f>IF(TblGabungan[[#This Row],[Kode Barang]]="","",VLOOKUP(TblGabungan[[#This Row],[Kode Barang]],TblStokAkhir[#All],5,0))</f>
        <v>190</v>
      </c>
      <c r="M51">
        <f>IF(TblGabungan[[#This Row],[Kode Barang]]="","",VLOOKUP(TblGabungan[[#This Row],[Kode Barang]],TblStokAkhir[#All],5,0))</f>
        <v>190</v>
      </c>
      <c r="N51">
        <f>IF(TblGabungan[[#This Row],[Kode Barang]]="","",VLOOKUP(TblGabungan[[#This Row],[Kode Barang]],TblStokAkhir[#All],7,0))</f>
        <v>30</v>
      </c>
      <c r="O51" t="str">
        <f>IF(TblGabungan[[#This Row],[Kode Barang]]="","",VLOOKUP(TblGabungan[[#This Row],[Kode Barang]],TblStokAkhir[#All],8,0))</f>
        <v>Aman</v>
      </c>
    </row>
    <row r="52" spans="6:15" x14ac:dyDescent="0.3">
      <c r="F52" t="str">
        <f>Table_Barang[[#This Row],[Kode Barang]]</f>
        <v>ATK041</v>
      </c>
      <c r="G52" t="str">
        <f>IF(TblGabungan[[#This Row],[Kode Barang]]="","",VLOOKUP(TblGabungan[[#This Row],[Kode Barang]],Table_Barang[#All],2,0))</f>
        <v>Buku Tulis</v>
      </c>
      <c r="H52" t="str">
        <f>VLOOKUP(TblGabungan[[#This Row],[Kode Barang]],Table_Barang[#All],4,0)</f>
        <v>Box</v>
      </c>
      <c r="I52" s="9">
        <f>IF(TblGabungan[[#This Row],[Kode Barang]]="","",VLOOKUP(TblGabungan[[#This Row],[Kode Barang]],Table_Barang[#All],5,0))</f>
        <v>16000</v>
      </c>
      <c r="J52">
        <f>IF(TblGabungan[[#This Row],[Kode Barang]]="","",VLOOKUP(TblGabungan[[#This Row],[Kode Barang]],TblStokAkhir[#All],3,0))</f>
        <v>0</v>
      </c>
      <c r="K52">
        <f>IF(TblGabungan[[#This Row],[Kode Barang]]="","",VLOOKUP(TblGabungan[[#This Row],[Kode Barang]],TblStokAkhir[#All],4,0))</f>
        <v>20</v>
      </c>
      <c r="L52">
        <f>IF(TblGabungan[[#This Row],[Kode Barang]]="","",VLOOKUP(TblGabungan[[#This Row],[Kode Barang]],TblStokAkhir[#All],5,0))</f>
        <v>27</v>
      </c>
      <c r="M52">
        <f>IF(TblGabungan[[#This Row],[Kode Barang]]="","",VLOOKUP(TblGabungan[[#This Row],[Kode Barang]],TblStokAkhir[#All],5,0))</f>
        <v>27</v>
      </c>
      <c r="N52">
        <f>IF(TblGabungan[[#This Row],[Kode Barang]]="","",VLOOKUP(TblGabungan[[#This Row],[Kode Barang]],TblStokAkhir[#All],7,0))</f>
        <v>20</v>
      </c>
      <c r="O52" t="str">
        <f>IF(TblGabungan[[#This Row],[Kode Barang]]="","",VLOOKUP(TblGabungan[[#This Row],[Kode Barang]],TblStokAkhir[#All],8,0))</f>
        <v>Menipis</v>
      </c>
    </row>
    <row r="53" spans="6:15" x14ac:dyDescent="0.3">
      <c r="F53" t="str">
        <f>Table_Barang[[#This Row],[Kode Barang]]</f>
        <v>ATK042</v>
      </c>
      <c r="G53" t="str">
        <f>IF(TblGabungan[[#This Row],[Kode Barang]]="","",VLOOKUP(TblGabungan[[#This Row],[Kode Barang]],Table_Barang[#All],2,0))</f>
        <v>Pulpen Hitam</v>
      </c>
      <c r="H53" t="str">
        <f>VLOOKUP(TblGabungan[[#This Row],[Kode Barang]],Table_Barang[#All],4,0)</f>
        <v>Box</v>
      </c>
      <c r="I53" s="9">
        <f>IF(TblGabungan[[#This Row],[Kode Barang]]="","",VLOOKUP(TblGabungan[[#This Row],[Kode Barang]],Table_Barang[#All],5,0))</f>
        <v>41600</v>
      </c>
      <c r="J53">
        <f>IF(TblGabungan[[#This Row],[Kode Barang]]="","",VLOOKUP(TblGabungan[[#This Row],[Kode Barang]],TblStokAkhir[#All],3,0))</f>
        <v>0</v>
      </c>
      <c r="K53">
        <f>IF(TblGabungan[[#This Row],[Kode Barang]]="","",VLOOKUP(TblGabungan[[#This Row],[Kode Barang]],TblStokAkhir[#All],4,0))</f>
        <v>20</v>
      </c>
      <c r="L53">
        <f>IF(TblGabungan[[#This Row],[Kode Barang]]="","",VLOOKUP(TblGabungan[[#This Row],[Kode Barang]],TblStokAkhir[#All],5,0))</f>
        <v>52</v>
      </c>
      <c r="M53">
        <f>IF(TblGabungan[[#This Row],[Kode Barang]]="","",VLOOKUP(TblGabungan[[#This Row],[Kode Barang]],TblStokAkhir[#All],5,0))</f>
        <v>52</v>
      </c>
      <c r="N53">
        <f>IF(TblGabungan[[#This Row],[Kode Barang]]="","",VLOOKUP(TblGabungan[[#This Row],[Kode Barang]],TblStokAkhir[#All],7,0))</f>
        <v>20</v>
      </c>
      <c r="O53" t="str">
        <f>IF(TblGabungan[[#This Row],[Kode Barang]]="","",VLOOKUP(TblGabungan[[#This Row],[Kode Barang]],TblStokAkhir[#All],8,0))</f>
        <v>Aman</v>
      </c>
    </row>
    <row r="54" spans="6:15" x14ac:dyDescent="0.3">
      <c r="F54" t="str">
        <f>Table_Barang[[#This Row],[Kode Barang]]</f>
        <v>LAI043</v>
      </c>
      <c r="G54" t="str">
        <f>IF(TblGabungan[[#This Row],[Kode Barang]]="","",VLOOKUP(TblGabungan[[#This Row],[Kode Barang]],Table_Barang[#All],2,0))</f>
        <v>Lakban</v>
      </c>
      <c r="H54" t="str">
        <f>VLOOKUP(TblGabungan[[#This Row],[Kode Barang]],Table_Barang[#All],4,0)</f>
        <v>Unit</v>
      </c>
      <c r="I54" s="9">
        <f>IF(TblGabungan[[#This Row],[Kode Barang]]="","",VLOOKUP(TblGabungan[[#This Row],[Kode Barang]],Table_Barang[#All],5,0))</f>
        <v>90800</v>
      </c>
      <c r="J54">
        <f>IF(TblGabungan[[#This Row],[Kode Barang]]="","",VLOOKUP(TblGabungan[[#This Row],[Kode Barang]],TblStokAkhir[#All],3,0))</f>
        <v>40</v>
      </c>
      <c r="K54">
        <f>IF(TblGabungan[[#This Row],[Kode Barang]]="","",VLOOKUP(TblGabungan[[#This Row],[Kode Barang]],TblStokAkhir[#All],4,0))</f>
        <v>0</v>
      </c>
      <c r="L54">
        <f>IF(TblGabungan[[#This Row],[Kode Barang]]="","",VLOOKUP(TblGabungan[[#This Row],[Kode Barang]],TblStokAkhir[#All],5,0))</f>
        <v>139</v>
      </c>
      <c r="M54">
        <f>IF(TblGabungan[[#This Row],[Kode Barang]]="","",VLOOKUP(TblGabungan[[#This Row],[Kode Barang]],TblStokAkhir[#All],5,0))</f>
        <v>139</v>
      </c>
      <c r="N54">
        <f>IF(TblGabungan[[#This Row],[Kode Barang]]="","",VLOOKUP(TblGabungan[[#This Row],[Kode Barang]],TblStokAkhir[#All],7,0))</f>
        <v>10</v>
      </c>
      <c r="O54" t="str">
        <f>IF(TblGabungan[[#This Row],[Kode Barang]]="","",VLOOKUP(TblGabungan[[#This Row],[Kode Barang]],TblStokAkhir[#All],8,0))</f>
        <v>Aman</v>
      </c>
    </row>
    <row r="55" spans="6:15" x14ac:dyDescent="0.3">
      <c r="F55" t="str">
        <f>Table_Barang[[#This Row],[Kode Barang]]</f>
        <v>LAI044</v>
      </c>
      <c r="G55" t="str">
        <f>IF(TblGabungan[[#This Row],[Kode Barang]]="","",VLOOKUP(TblGabungan[[#This Row],[Kode Barang]],Table_Barang[#All],2,0))</f>
        <v>Sumbu Kompor</v>
      </c>
      <c r="H55" t="str">
        <f>VLOOKUP(TblGabungan[[#This Row],[Kode Barang]],Table_Barang[#All],4,0)</f>
        <v>Unit</v>
      </c>
      <c r="I55" s="9">
        <f>IF(TblGabungan[[#This Row],[Kode Barang]]="","",VLOOKUP(TblGabungan[[#This Row],[Kode Barang]],Table_Barang[#All],5,0))</f>
        <v>47200</v>
      </c>
      <c r="J55">
        <f>IF(TblGabungan[[#This Row],[Kode Barang]]="","",VLOOKUP(TblGabungan[[#This Row],[Kode Barang]],TblStokAkhir[#All],3,0))</f>
        <v>0</v>
      </c>
      <c r="K55">
        <f>IF(TblGabungan[[#This Row],[Kode Barang]]="","",VLOOKUP(TblGabungan[[#This Row],[Kode Barang]],TblStokAkhir[#All],4,0))</f>
        <v>0</v>
      </c>
      <c r="L55">
        <f>IF(TblGabungan[[#This Row],[Kode Barang]]="","",VLOOKUP(TblGabungan[[#This Row],[Kode Barang]],TblStokAkhir[#All],5,0))</f>
        <v>234</v>
      </c>
      <c r="M55">
        <f>IF(TblGabungan[[#This Row],[Kode Barang]]="","",VLOOKUP(TblGabungan[[#This Row],[Kode Barang]],TblStokAkhir[#All],5,0))</f>
        <v>234</v>
      </c>
      <c r="N55">
        <f>IF(TblGabungan[[#This Row],[Kode Barang]]="","",VLOOKUP(TblGabungan[[#This Row],[Kode Barang]],TblStokAkhir[#All],7,0))</f>
        <v>10</v>
      </c>
      <c r="O55" t="str">
        <f>IF(TblGabungan[[#This Row],[Kode Barang]]="","",VLOOKUP(TblGabungan[[#This Row],[Kode Barang]],TblStokAkhir[#All],8,0))</f>
        <v>Aman</v>
      </c>
    </row>
    <row r="56" spans="6:15" x14ac:dyDescent="0.3">
      <c r="F56" t="str">
        <f>Table_Barang[[#This Row],[Kode Barang]]</f>
        <v>PER045</v>
      </c>
      <c r="G56" t="str">
        <f>IF(TblGabungan[[#This Row],[Kode Barang]]="","",VLOOKUP(TblGabungan[[#This Row],[Kode Barang]],Table_Barang[#All],2,0))</f>
        <v>Kursi Kantor</v>
      </c>
      <c r="H56" t="str">
        <f>VLOOKUP(TblGabungan[[#This Row],[Kode Barang]],Table_Barang[#All],4,0)</f>
        <v>Set</v>
      </c>
      <c r="I56" s="9">
        <f>IF(TblGabungan[[#This Row],[Kode Barang]]="","",VLOOKUP(TblGabungan[[#This Row],[Kode Barang]],Table_Barang[#All],5,0))</f>
        <v>65400</v>
      </c>
      <c r="J56">
        <f>IF(TblGabungan[[#This Row],[Kode Barang]]="","",VLOOKUP(TblGabungan[[#This Row],[Kode Barang]],TblStokAkhir[#All],3,0))</f>
        <v>0</v>
      </c>
      <c r="K56">
        <f>IF(TblGabungan[[#This Row],[Kode Barang]]="","",VLOOKUP(TblGabungan[[#This Row],[Kode Barang]],TblStokAkhir[#All],4,0))</f>
        <v>0</v>
      </c>
      <c r="L56">
        <f>IF(TblGabungan[[#This Row],[Kode Barang]]="","",VLOOKUP(TblGabungan[[#This Row],[Kode Barang]],TblStokAkhir[#All],5,0))</f>
        <v>120</v>
      </c>
      <c r="M56">
        <f>IF(TblGabungan[[#This Row],[Kode Barang]]="","",VLOOKUP(TblGabungan[[#This Row],[Kode Barang]],TblStokAkhir[#All],5,0))</f>
        <v>120</v>
      </c>
      <c r="N56">
        <f>IF(TblGabungan[[#This Row],[Kode Barang]]="","",VLOOKUP(TblGabungan[[#This Row],[Kode Barang]],TblStokAkhir[#All],7,0))</f>
        <v>10</v>
      </c>
      <c r="O56" t="str">
        <f>IF(TblGabungan[[#This Row],[Kode Barang]]="","",VLOOKUP(TblGabungan[[#This Row],[Kode Barang]],TblStokAkhir[#All],8,0))</f>
        <v>Aman</v>
      </c>
    </row>
    <row r="57" spans="6:15" x14ac:dyDescent="0.3">
      <c r="F57" t="str">
        <f>Table_Barang[[#This Row],[Kode Barang]]</f>
        <v>PER046</v>
      </c>
      <c r="G57" t="str">
        <f>IF(TblGabungan[[#This Row],[Kode Barang]]="","",VLOOKUP(TblGabungan[[#This Row],[Kode Barang]],Table_Barang[#All],2,0))</f>
        <v>Lemari Arsip</v>
      </c>
      <c r="H57" t="str">
        <f>VLOOKUP(TblGabungan[[#This Row],[Kode Barang]],Table_Barang[#All],4,0)</f>
        <v>Set</v>
      </c>
      <c r="I57" s="9">
        <f>IF(TblGabungan[[#This Row],[Kode Barang]]="","",VLOOKUP(TblGabungan[[#This Row],[Kode Barang]],Table_Barang[#All],5,0))</f>
        <v>65200</v>
      </c>
      <c r="J57">
        <f>IF(TblGabungan[[#This Row],[Kode Barang]]="","",VLOOKUP(TblGabungan[[#This Row],[Kode Barang]],TblStokAkhir[#All],3,0))</f>
        <v>30</v>
      </c>
      <c r="K57">
        <f>IF(TblGabungan[[#This Row],[Kode Barang]]="","",VLOOKUP(TblGabungan[[#This Row],[Kode Barang]],TblStokAkhir[#All],4,0))</f>
        <v>0</v>
      </c>
      <c r="L57">
        <f>IF(TblGabungan[[#This Row],[Kode Barang]]="","",VLOOKUP(TblGabungan[[#This Row],[Kode Barang]],TblStokAkhir[#All],5,0))</f>
        <v>59</v>
      </c>
      <c r="M57">
        <f>IF(TblGabungan[[#This Row],[Kode Barang]]="","",VLOOKUP(TblGabungan[[#This Row],[Kode Barang]],TblStokAkhir[#All],5,0))</f>
        <v>59</v>
      </c>
      <c r="N57">
        <f>IF(TblGabungan[[#This Row],[Kode Barang]]="","",VLOOKUP(TblGabungan[[#This Row],[Kode Barang]],TblStokAkhir[#All],7,0))</f>
        <v>10</v>
      </c>
      <c r="O57" t="str">
        <f>IF(TblGabungan[[#This Row],[Kode Barang]]="","",VLOOKUP(TblGabungan[[#This Row],[Kode Barang]],TblStokAkhir[#All],8,0))</f>
        <v>Aman</v>
      </c>
    </row>
    <row r="58" spans="6:15" x14ac:dyDescent="0.3">
      <c r="F58" t="str">
        <f>Table_Barang[[#This Row],[Kode Barang]]</f>
        <v>ARS047</v>
      </c>
      <c r="G58" t="str">
        <f>IF(TblGabungan[[#This Row],[Kode Barang]]="","",VLOOKUP(TblGabungan[[#This Row],[Kode Barang]],Table_Barang[#All],2,0))</f>
        <v>Ordner</v>
      </c>
      <c r="H58" t="str">
        <f>VLOOKUP(TblGabungan[[#This Row],[Kode Barang]],Table_Barang[#All],4,0)</f>
        <v>Box</v>
      </c>
      <c r="I58" s="9">
        <f>IF(TblGabungan[[#This Row],[Kode Barang]]="","",VLOOKUP(TblGabungan[[#This Row],[Kode Barang]],Table_Barang[#All],5,0))</f>
        <v>182400</v>
      </c>
      <c r="J58">
        <f>IF(TblGabungan[[#This Row],[Kode Barang]]="","",VLOOKUP(TblGabungan[[#This Row],[Kode Barang]],TblStokAkhir[#All],3,0))</f>
        <v>46</v>
      </c>
      <c r="K58">
        <f>IF(TblGabungan[[#This Row],[Kode Barang]]="","",VLOOKUP(TblGabungan[[#This Row],[Kode Barang]],TblStokAkhir[#All],4,0))</f>
        <v>21</v>
      </c>
      <c r="L58">
        <f>IF(TblGabungan[[#This Row],[Kode Barang]]="","",VLOOKUP(TblGabungan[[#This Row],[Kode Barang]],TblStokAkhir[#All],5,0))</f>
        <v>109</v>
      </c>
      <c r="M58">
        <f>IF(TblGabungan[[#This Row],[Kode Barang]]="","",VLOOKUP(TblGabungan[[#This Row],[Kode Barang]],TblStokAkhir[#All],5,0))</f>
        <v>109</v>
      </c>
      <c r="N58">
        <f>IF(TblGabungan[[#This Row],[Kode Barang]]="","",VLOOKUP(TblGabungan[[#This Row],[Kode Barang]],TblStokAkhir[#All],7,0))</f>
        <v>10</v>
      </c>
      <c r="O58" t="str">
        <f>IF(TblGabungan[[#This Row],[Kode Barang]]="","",VLOOKUP(TblGabungan[[#This Row],[Kode Barang]],TblStokAkhir[#All],8,0))</f>
        <v>Aman</v>
      </c>
    </row>
    <row r="59" spans="6:15" x14ac:dyDescent="0.3">
      <c r="F59" t="str">
        <f>Table_Barang[[#This Row],[Kode Barang]]</f>
        <v>PER048</v>
      </c>
      <c r="G59" t="str">
        <f>IF(TblGabungan[[#This Row],[Kode Barang]]="","",VLOOKUP(TblGabungan[[#This Row],[Kode Barang]],Table_Barang[#All],2,0))</f>
        <v>Lemari Besi</v>
      </c>
      <c r="H59" t="str">
        <f>VLOOKUP(TblGabungan[[#This Row],[Kode Barang]],Table_Barang[#All],4,0)</f>
        <v>Set</v>
      </c>
      <c r="I59" s="9">
        <f>IF(TblGabungan[[#This Row],[Kode Barang]]="","",VLOOKUP(TblGabungan[[#This Row],[Kode Barang]],Table_Barang[#All],5,0))</f>
        <v>168400</v>
      </c>
      <c r="J59">
        <f>IF(TblGabungan[[#This Row],[Kode Barang]]="","",VLOOKUP(TblGabungan[[#This Row],[Kode Barang]],TblStokAkhir[#All],3,0))</f>
        <v>0</v>
      </c>
      <c r="K59">
        <f>IF(TblGabungan[[#This Row],[Kode Barang]]="","",VLOOKUP(TblGabungan[[#This Row],[Kode Barang]],TblStokAkhir[#All],4,0))</f>
        <v>0</v>
      </c>
      <c r="L59">
        <f>IF(TblGabungan[[#This Row],[Kode Barang]]="","",VLOOKUP(TblGabungan[[#This Row],[Kode Barang]],TblStokAkhir[#All],5,0))</f>
        <v>291</v>
      </c>
      <c r="M59">
        <f>IF(TblGabungan[[#This Row],[Kode Barang]]="","",VLOOKUP(TblGabungan[[#This Row],[Kode Barang]],TblStokAkhir[#All],5,0))</f>
        <v>291</v>
      </c>
      <c r="N59">
        <f>IF(TblGabungan[[#This Row],[Kode Barang]]="","",VLOOKUP(TblGabungan[[#This Row],[Kode Barang]],TblStokAkhir[#All],7,0))</f>
        <v>20</v>
      </c>
      <c r="O59" t="str">
        <f>IF(TblGabungan[[#This Row],[Kode Barang]]="","",VLOOKUP(TblGabungan[[#This Row],[Kode Barang]],TblStokAkhir[#All],8,0))</f>
        <v>Aman</v>
      </c>
    </row>
    <row r="60" spans="6:15" x14ac:dyDescent="0.3">
      <c r="F60" t="str">
        <f>Table_Barang[[#This Row],[Kode Barang]]</f>
        <v>ELE049</v>
      </c>
      <c r="G60" t="str">
        <f>IF(TblGabungan[[#This Row],[Kode Barang]]="","",VLOOKUP(TblGabungan[[#This Row],[Kode Barang]],Table_Barang[#All],2,0))</f>
        <v>Lampu LED</v>
      </c>
      <c r="H60" t="str">
        <f>VLOOKUP(TblGabungan[[#This Row],[Kode Barang]],Table_Barang[#All],4,0)</f>
        <v>Unit</v>
      </c>
      <c r="I60" s="9">
        <f>IF(TblGabungan[[#This Row],[Kode Barang]]="","",VLOOKUP(TblGabungan[[#This Row],[Kode Barang]],Table_Barang[#All],5,0))</f>
        <v>50600</v>
      </c>
      <c r="J60">
        <f>IF(TblGabungan[[#This Row],[Kode Barang]]="","",VLOOKUP(TblGabungan[[#This Row],[Kode Barang]],TblStokAkhir[#All],3,0))</f>
        <v>0</v>
      </c>
      <c r="K60">
        <f>IF(TblGabungan[[#This Row],[Kode Barang]]="","",VLOOKUP(TblGabungan[[#This Row],[Kode Barang]],TblStokAkhir[#All],4,0))</f>
        <v>0</v>
      </c>
      <c r="L60">
        <f>IF(TblGabungan[[#This Row],[Kode Barang]]="","",VLOOKUP(TblGabungan[[#This Row],[Kode Barang]],TblStokAkhir[#All],5,0))</f>
        <v>133</v>
      </c>
      <c r="M60">
        <f>IF(TblGabungan[[#This Row],[Kode Barang]]="","",VLOOKUP(TblGabungan[[#This Row],[Kode Barang]],TblStokAkhir[#All],5,0))</f>
        <v>133</v>
      </c>
      <c r="N60">
        <f>IF(TblGabungan[[#This Row],[Kode Barang]]="","",VLOOKUP(TblGabungan[[#This Row],[Kode Barang]],TblStokAkhir[#All],7,0))</f>
        <v>20</v>
      </c>
      <c r="O60" t="str">
        <f>IF(TblGabungan[[#This Row],[Kode Barang]]="","",VLOOKUP(TblGabungan[[#This Row],[Kode Barang]],TblStokAkhir[#All],8,0))</f>
        <v>Aman</v>
      </c>
    </row>
    <row r="61" spans="6:15" x14ac:dyDescent="0.3">
      <c r="F61" t="str">
        <f>Table_Barang[[#This Row],[Kode Barang]]</f>
        <v>PER050</v>
      </c>
      <c r="G61" t="str">
        <f>IF(TblGabungan[[#This Row],[Kode Barang]]="","",VLOOKUP(TblGabungan[[#This Row],[Kode Barang]],Table_Barang[#All],2,0))</f>
        <v>Kursi Kantor</v>
      </c>
      <c r="H61" t="str">
        <f>VLOOKUP(TblGabungan[[#This Row],[Kode Barang]],Table_Barang[#All],4,0)</f>
        <v>Unit</v>
      </c>
      <c r="I61" s="9">
        <f>IF(TblGabungan[[#This Row],[Kode Barang]]="","",VLOOKUP(TblGabungan[[#This Row],[Kode Barang]],Table_Barang[#All],5,0))</f>
        <v>184600</v>
      </c>
      <c r="J61">
        <f>IF(TblGabungan[[#This Row],[Kode Barang]]="","",VLOOKUP(TblGabungan[[#This Row],[Kode Barang]],TblStokAkhir[#All],3,0))</f>
        <v>0</v>
      </c>
      <c r="K61">
        <f>IF(TblGabungan[[#This Row],[Kode Barang]]="","",VLOOKUP(TblGabungan[[#This Row],[Kode Barang]],TblStokAkhir[#All],4,0))</f>
        <v>0</v>
      </c>
      <c r="L61">
        <f>IF(TblGabungan[[#This Row],[Kode Barang]]="","",VLOOKUP(TblGabungan[[#This Row],[Kode Barang]],TblStokAkhir[#All],5,0))</f>
        <v>170</v>
      </c>
      <c r="M61">
        <f>IF(TblGabungan[[#This Row],[Kode Barang]]="","",VLOOKUP(TblGabungan[[#This Row],[Kode Barang]],TblStokAkhir[#All],5,0))</f>
        <v>170</v>
      </c>
      <c r="N61">
        <f>IF(TblGabungan[[#This Row],[Kode Barang]]="","",VLOOKUP(TblGabungan[[#This Row],[Kode Barang]],TblStokAkhir[#All],7,0))</f>
        <v>30</v>
      </c>
      <c r="O61" t="str">
        <f>IF(TblGabungan[[#This Row],[Kode Barang]]="","",VLOOKUP(TblGabungan[[#This Row],[Kode Barang]],TblStokAkhir[#All],8,0))</f>
        <v>Aman</v>
      </c>
    </row>
    <row r="62" spans="6:15" x14ac:dyDescent="0.3">
      <c r="F62" t="str">
        <f>Table_Barang[[#This Row],[Kode Barang]]</f>
        <v>LAI051</v>
      </c>
      <c r="G62" t="str">
        <f>IF(TblGabungan[[#This Row],[Kode Barang]]="","",VLOOKUP(TblGabungan[[#This Row],[Kode Barang]],Table_Barang[#All],2,0))</f>
        <v>Tali Rafiah</v>
      </c>
      <c r="H62" t="str">
        <f>VLOOKUP(TblGabungan[[#This Row],[Kode Barang]],Table_Barang[#All],4,0)</f>
        <v>Unit</v>
      </c>
      <c r="I62" s="9">
        <f>IF(TblGabungan[[#This Row],[Kode Barang]]="","",VLOOKUP(TblGabungan[[#This Row],[Kode Barang]],Table_Barang[#All],5,0))</f>
        <v>16100</v>
      </c>
      <c r="J62">
        <f>IF(TblGabungan[[#This Row],[Kode Barang]]="","",VLOOKUP(TblGabungan[[#This Row],[Kode Barang]],TblStokAkhir[#All],3,0))</f>
        <v>117</v>
      </c>
      <c r="K62">
        <f>IF(TblGabungan[[#This Row],[Kode Barang]]="","",VLOOKUP(TblGabungan[[#This Row],[Kode Barang]],TblStokAkhir[#All],4,0))</f>
        <v>0</v>
      </c>
      <c r="L62">
        <f>IF(TblGabungan[[#This Row],[Kode Barang]]="","",VLOOKUP(TblGabungan[[#This Row],[Kode Barang]],TblStokAkhir[#All],5,0))</f>
        <v>279</v>
      </c>
      <c r="M62">
        <f>IF(TblGabungan[[#This Row],[Kode Barang]]="","",VLOOKUP(TblGabungan[[#This Row],[Kode Barang]],TblStokAkhir[#All],5,0))</f>
        <v>279</v>
      </c>
      <c r="N62">
        <f>IF(TblGabungan[[#This Row],[Kode Barang]]="","",VLOOKUP(TblGabungan[[#This Row],[Kode Barang]],TblStokAkhir[#All],7,0))</f>
        <v>30</v>
      </c>
      <c r="O62" t="str">
        <f>IF(TblGabungan[[#This Row],[Kode Barang]]="","",VLOOKUP(TblGabungan[[#This Row],[Kode Barang]],TblStokAkhir[#All],8,0))</f>
        <v>Aman</v>
      </c>
    </row>
    <row r="63" spans="6:15" x14ac:dyDescent="0.3">
      <c r="F63" t="str">
        <f>Table_Barang[[#This Row],[Kode Barang]]</f>
        <v>PER052</v>
      </c>
      <c r="G63" t="str">
        <f>IF(TblGabungan[[#This Row],[Kode Barang]]="","",VLOOKUP(TblGabungan[[#This Row],[Kode Barang]],Table_Barang[#All],2,0))</f>
        <v>Kursi Plastik</v>
      </c>
      <c r="H63" t="str">
        <f>VLOOKUP(TblGabungan[[#This Row],[Kode Barang]],Table_Barang[#All],4,0)</f>
        <v>Unit</v>
      </c>
      <c r="I63" s="9">
        <f>IF(TblGabungan[[#This Row],[Kode Barang]]="","",VLOOKUP(TblGabungan[[#This Row],[Kode Barang]],Table_Barang[#All],5,0))</f>
        <v>37300</v>
      </c>
      <c r="J63">
        <f>IF(TblGabungan[[#This Row],[Kode Barang]]="","",VLOOKUP(TblGabungan[[#This Row],[Kode Barang]],TblStokAkhir[#All],3,0))</f>
        <v>34</v>
      </c>
      <c r="K63">
        <f>IF(TblGabungan[[#This Row],[Kode Barang]]="","",VLOOKUP(TblGabungan[[#This Row],[Kode Barang]],TblStokAkhir[#All],4,0))</f>
        <v>0</v>
      </c>
      <c r="L63">
        <f>IF(TblGabungan[[#This Row],[Kode Barang]]="","",VLOOKUP(TblGabungan[[#This Row],[Kode Barang]],TblStokAkhir[#All],5,0))</f>
        <v>51</v>
      </c>
      <c r="M63">
        <f>IF(TblGabungan[[#This Row],[Kode Barang]]="","",VLOOKUP(TblGabungan[[#This Row],[Kode Barang]],TblStokAkhir[#All],5,0))</f>
        <v>51</v>
      </c>
      <c r="N63">
        <f>IF(TblGabungan[[#This Row],[Kode Barang]]="","",VLOOKUP(TblGabungan[[#This Row],[Kode Barang]],TblStokAkhir[#All],7,0))</f>
        <v>20</v>
      </c>
      <c r="O63" t="str">
        <f>IF(TblGabungan[[#This Row],[Kode Barang]]="","",VLOOKUP(TblGabungan[[#This Row],[Kode Barang]],TblStokAkhir[#All],8,0))</f>
        <v>Aman</v>
      </c>
    </row>
    <row r="64" spans="6:15" x14ac:dyDescent="0.3">
      <c r="F64" t="str">
        <f>Table_Barang[[#This Row],[Kode Barang]]</f>
        <v>PER053</v>
      </c>
      <c r="G64" t="str">
        <f>IF(TblGabungan[[#This Row],[Kode Barang]]="","",VLOOKUP(TblGabungan[[#This Row],[Kode Barang]],Table_Barang[#All],2,0))</f>
        <v>Lemari Besi</v>
      </c>
      <c r="H64" t="str">
        <f>VLOOKUP(TblGabungan[[#This Row],[Kode Barang]],Table_Barang[#All],4,0)</f>
        <v>Unit</v>
      </c>
      <c r="I64" s="9">
        <f>IF(TblGabungan[[#This Row],[Kode Barang]]="","",VLOOKUP(TblGabungan[[#This Row],[Kode Barang]],Table_Barang[#All],5,0))</f>
        <v>157300</v>
      </c>
      <c r="J64">
        <f>IF(TblGabungan[[#This Row],[Kode Barang]]="","",VLOOKUP(TblGabungan[[#This Row],[Kode Barang]],TblStokAkhir[#All],3,0))</f>
        <v>13</v>
      </c>
      <c r="K64">
        <f>IF(TblGabungan[[#This Row],[Kode Barang]]="","",VLOOKUP(TblGabungan[[#This Row],[Kode Barang]],TblStokAkhir[#All],4,0))</f>
        <v>0</v>
      </c>
      <c r="L64">
        <f>IF(TblGabungan[[#This Row],[Kode Barang]]="","",VLOOKUP(TblGabungan[[#This Row],[Kode Barang]],TblStokAkhir[#All],5,0))</f>
        <v>244</v>
      </c>
      <c r="M64">
        <f>IF(TblGabungan[[#This Row],[Kode Barang]]="","",VLOOKUP(TblGabungan[[#This Row],[Kode Barang]],TblStokAkhir[#All],5,0))</f>
        <v>244</v>
      </c>
      <c r="N64">
        <f>IF(TblGabungan[[#This Row],[Kode Barang]]="","",VLOOKUP(TblGabungan[[#This Row],[Kode Barang]],TblStokAkhir[#All],7,0))</f>
        <v>20</v>
      </c>
      <c r="O64" t="str">
        <f>IF(TblGabungan[[#This Row],[Kode Barang]]="","",VLOOKUP(TblGabungan[[#This Row],[Kode Barang]],TblStokAkhir[#All],8,0))</f>
        <v>Aman</v>
      </c>
    </row>
    <row r="65" spans="6:15" x14ac:dyDescent="0.3">
      <c r="F65" t="str">
        <f>Table_Barang[[#This Row],[Kode Barang]]</f>
        <v>ATK054</v>
      </c>
      <c r="G65" t="str">
        <f>IF(TblGabungan[[#This Row],[Kode Barang]]="","",VLOOKUP(TblGabungan[[#This Row],[Kode Barang]],Table_Barang[#All],2,0))</f>
        <v>Penggaris 30cm</v>
      </c>
      <c r="H65" t="str">
        <f>VLOOKUP(TblGabungan[[#This Row],[Kode Barang]],Table_Barang[#All],4,0)</f>
        <v>Pack</v>
      </c>
      <c r="I65" s="9">
        <f>IF(TblGabungan[[#This Row],[Kode Barang]]="","",VLOOKUP(TblGabungan[[#This Row],[Kode Barang]],Table_Barang[#All],5,0))</f>
        <v>131700</v>
      </c>
      <c r="J65">
        <f>IF(TblGabungan[[#This Row],[Kode Barang]]="","",VLOOKUP(TblGabungan[[#This Row],[Kode Barang]],TblStokAkhir[#All],3,0))</f>
        <v>0</v>
      </c>
      <c r="K65">
        <f>IF(TblGabungan[[#This Row],[Kode Barang]]="","",VLOOKUP(TblGabungan[[#This Row],[Kode Barang]],TblStokAkhir[#All],4,0))</f>
        <v>89</v>
      </c>
      <c r="L65">
        <f>IF(TblGabungan[[#This Row],[Kode Barang]]="","",VLOOKUP(TblGabungan[[#This Row],[Kode Barang]],TblStokAkhir[#All],5,0))</f>
        <v>218</v>
      </c>
      <c r="M65">
        <f>IF(TblGabungan[[#This Row],[Kode Barang]]="","",VLOOKUP(TblGabungan[[#This Row],[Kode Barang]],TblStokAkhir[#All],5,0))</f>
        <v>218</v>
      </c>
      <c r="N65">
        <f>IF(TblGabungan[[#This Row],[Kode Barang]]="","",VLOOKUP(TblGabungan[[#This Row],[Kode Barang]],TblStokAkhir[#All],7,0))</f>
        <v>10</v>
      </c>
      <c r="O65" t="str">
        <f>IF(TblGabungan[[#This Row],[Kode Barang]]="","",VLOOKUP(TblGabungan[[#This Row],[Kode Barang]],TblStokAkhir[#All],8,0))</f>
        <v>Aman</v>
      </c>
    </row>
    <row r="66" spans="6:15" x14ac:dyDescent="0.3">
      <c r="F66" t="str">
        <f>Table_Barang[[#This Row],[Kode Barang]]</f>
        <v>ARS055</v>
      </c>
      <c r="G66" t="str">
        <f>IF(TblGabungan[[#This Row],[Kode Barang]]="","",VLOOKUP(TblGabungan[[#This Row],[Kode Barang]],Table_Barang[#All],2,0))</f>
        <v>Amplop Coklat</v>
      </c>
      <c r="H66" t="str">
        <f>VLOOKUP(TblGabungan[[#This Row],[Kode Barang]],Table_Barang[#All],4,0)</f>
        <v>Box</v>
      </c>
      <c r="I66" s="9">
        <f>IF(TblGabungan[[#This Row],[Kode Barang]]="","",VLOOKUP(TblGabungan[[#This Row],[Kode Barang]],Table_Barang[#All],5,0))</f>
        <v>179000</v>
      </c>
      <c r="J66">
        <f>IF(TblGabungan[[#This Row],[Kode Barang]]="","",VLOOKUP(TblGabungan[[#This Row],[Kode Barang]],TblStokAkhir[#All],3,0))</f>
        <v>55</v>
      </c>
      <c r="K66">
        <f>IF(TblGabungan[[#This Row],[Kode Barang]]="","",VLOOKUP(TblGabungan[[#This Row],[Kode Barang]],TblStokAkhir[#All],4,0))</f>
        <v>0</v>
      </c>
      <c r="L66">
        <f>IF(TblGabungan[[#This Row],[Kode Barang]]="","",VLOOKUP(TblGabungan[[#This Row],[Kode Barang]],TblStokAkhir[#All],5,0))</f>
        <v>229</v>
      </c>
      <c r="M66">
        <f>IF(TblGabungan[[#This Row],[Kode Barang]]="","",VLOOKUP(TblGabungan[[#This Row],[Kode Barang]],TblStokAkhir[#All],5,0))</f>
        <v>229</v>
      </c>
      <c r="N66">
        <f>IF(TblGabungan[[#This Row],[Kode Barang]]="","",VLOOKUP(TblGabungan[[#This Row],[Kode Barang]],TblStokAkhir[#All],7,0))</f>
        <v>10</v>
      </c>
      <c r="O66" t="str">
        <f>IF(TblGabungan[[#This Row],[Kode Barang]]="","",VLOOKUP(TblGabungan[[#This Row],[Kode Barang]],TblStokAkhir[#All],8,0))</f>
        <v>Aman</v>
      </c>
    </row>
    <row r="67" spans="6:15" x14ac:dyDescent="0.3">
      <c r="F67" t="str">
        <f>Table_Barang[[#This Row],[Kode Barang]]</f>
        <v>ARS056</v>
      </c>
      <c r="G67" t="str">
        <f>IF(TblGabungan[[#This Row],[Kode Barang]]="","",VLOOKUP(TblGabungan[[#This Row],[Kode Barang]],Table_Barang[#All],2,0))</f>
        <v>Ordner</v>
      </c>
      <c r="H67" t="str">
        <f>VLOOKUP(TblGabungan[[#This Row],[Kode Barang]],Table_Barang[#All],4,0)</f>
        <v>Box</v>
      </c>
      <c r="I67" s="9">
        <f>IF(TblGabungan[[#This Row],[Kode Barang]]="","",VLOOKUP(TblGabungan[[#This Row],[Kode Barang]],Table_Barang[#All],5,0))</f>
        <v>131500</v>
      </c>
      <c r="J67">
        <f>IF(TblGabungan[[#This Row],[Kode Barang]]="","",VLOOKUP(TblGabungan[[#This Row],[Kode Barang]],TblStokAkhir[#All],3,0))</f>
        <v>0</v>
      </c>
      <c r="K67">
        <f>IF(TblGabungan[[#This Row],[Kode Barang]]="","",VLOOKUP(TblGabungan[[#This Row],[Kode Barang]],TblStokAkhir[#All],4,0))</f>
        <v>86</v>
      </c>
      <c r="L67">
        <f>IF(TblGabungan[[#This Row],[Kode Barang]]="","",VLOOKUP(TblGabungan[[#This Row],[Kode Barang]],TblStokAkhir[#All],5,0))</f>
        <v>91</v>
      </c>
      <c r="M67">
        <f>IF(TblGabungan[[#This Row],[Kode Barang]]="","",VLOOKUP(TblGabungan[[#This Row],[Kode Barang]],TblStokAkhir[#All],5,0))</f>
        <v>91</v>
      </c>
      <c r="N67">
        <f>IF(TblGabungan[[#This Row],[Kode Barang]]="","",VLOOKUP(TblGabungan[[#This Row],[Kode Barang]],TblStokAkhir[#All],7,0))</f>
        <v>10</v>
      </c>
      <c r="O67" t="str">
        <f>IF(TblGabungan[[#This Row],[Kode Barang]]="","",VLOOKUP(TblGabungan[[#This Row],[Kode Barang]],TblStokAkhir[#All],8,0))</f>
        <v>Menipis</v>
      </c>
    </row>
    <row r="68" spans="6:15" x14ac:dyDescent="0.3">
      <c r="F68" t="str">
        <f>Table_Barang[[#This Row],[Kode Barang]]</f>
        <v>ATK057</v>
      </c>
      <c r="G68" t="str">
        <f>IF(TblGabungan[[#This Row],[Kode Barang]]="","",VLOOKUP(TblGabungan[[#This Row],[Kode Barang]],Table_Barang[#All],2,0))</f>
        <v>Pulpen Hitam</v>
      </c>
      <c r="H68" t="str">
        <f>VLOOKUP(TblGabungan[[#This Row],[Kode Barang]],Table_Barang[#All],4,0)</f>
        <v>Pack</v>
      </c>
      <c r="I68" s="9">
        <f>IF(TblGabungan[[#This Row],[Kode Barang]]="","",VLOOKUP(TblGabungan[[#This Row],[Kode Barang]],Table_Barang[#All],5,0))</f>
        <v>20400</v>
      </c>
      <c r="J68">
        <f>IF(TblGabungan[[#This Row],[Kode Barang]]="","",VLOOKUP(TblGabungan[[#This Row],[Kode Barang]],TblStokAkhir[#All],3,0))</f>
        <v>0</v>
      </c>
      <c r="K68">
        <f>IF(TblGabungan[[#This Row],[Kode Barang]]="","",VLOOKUP(TblGabungan[[#This Row],[Kode Barang]],TblStokAkhir[#All],4,0))</f>
        <v>0</v>
      </c>
      <c r="L68">
        <f>IF(TblGabungan[[#This Row],[Kode Barang]]="","",VLOOKUP(TblGabungan[[#This Row],[Kode Barang]],TblStokAkhir[#All],5,0))</f>
        <v>150</v>
      </c>
      <c r="M68">
        <f>IF(TblGabungan[[#This Row],[Kode Barang]]="","",VLOOKUP(TblGabungan[[#This Row],[Kode Barang]],TblStokAkhir[#All],5,0))</f>
        <v>150</v>
      </c>
      <c r="N68">
        <f>IF(TblGabungan[[#This Row],[Kode Barang]]="","",VLOOKUP(TblGabungan[[#This Row],[Kode Barang]],TblStokAkhir[#All],7,0))</f>
        <v>20</v>
      </c>
      <c r="O68" t="str">
        <f>IF(TblGabungan[[#This Row],[Kode Barang]]="","",VLOOKUP(TblGabungan[[#This Row],[Kode Barang]],TblStokAkhir[#All],8,0))</f>
        <v>Aman</v>
      </c>
    </row>
    <row r="69" spans="6:15" x14ac:dyDescent="0.3">
      <c r="F69" t="str">
        <f>Table_Barang[[#This Row],[Kode Barang]]</f>
        <v>LAI058</v>
      </c>
      <c r="G69" t="str">
        <f>IF(TblGabungan[[#This Row],[Kode Barang]]="","",VLOOKUP(TblGabungan[[#This Row],[Kode Barang]],Table_Barang[#All],2,0))</f>
        <v>Selotip</v>
      </c>
      <c r="H69" t="str">
        <f>VLOOKUP(TblGabungan[[#This Row],[Kode Barang]],Table_Barang[#All],4,0)</f>
        <v>Unit</v>
      </c>
      <c r="I69" s="9">
        <f>IF(TblGabungan[[#This Row],[Kode Barang]]="","",VLOOKUP(TblGabungan[[#This Row],[Kode Barang]],Table_Barang[#All],5,0))</f>
        <v>164900</v>
      </c>
      <c r="J69">
        <f>IF(TblGabungan[[#This Row],[Kode Barang]]="","",VLOOKUP(TblGabungan[[#This Row],[Kode Barang]],TblStokAkhir[#All],3,0))</f>
        <v>141</v>
      </c>
      <c r="K69">
        <f>IF(TblGabungan[[#This Row],[Kode Barang]]="","",VLOOKUP(TblGabungan[[#This Row],[Kode Barang]],TblStokAkhir[#All],4,0))</f>
        <v>0</v>
      </c>
      <c r="L69">
        <f>IF(TblGabungan[[#This Row],[Kode Barang]]="","",VLOOKUP(TblGabungan[[#This Row],[Kode Barang]],TblStokAkhir[#All],5,0))</f>
        <v>222</v>
      </c>
      <c r="M69">
        <f>IF(TblGabungan[[#This Row],[Kode Barang]]="","",VLOOKUP(TblGabungan[[#This Row],[Kode Barang]],TblStokAkhir[#All],5,0))</f>
        <v>222</v>
      </c>
      <c r="N69">
        <f>IF(TblGabungan[[#This Row],[Kode Barang]]="","",VLOOKUP(TblGabungan[[#This Row],[Kode Barang]],TblStokAkhir[#All],7,0))</f>
        <v>30</v>
      </c>
      <c r="O69" t="str">
        <f>IF(TblGabungan[[#This Row],[Kode Barang]]="","",VLOOKUP(TblGabungan[[#This Row],[Kode Barang]],TblStokAkhir[#All],8,0))</f>
        <v>Aman</v>
      </c>
    </row>
    <row r="70" spans="6:15" x14ac:dyDescent="0.3">
      <c r="F70" t="str">
        <f>Table_Barang[[#This Row],[Kode Barang]]</f>
        <v>PER059</v>
      </c>
      <c r="G70" t="str">
        <f>IF(TblGabungan[[#This Row],[Kode Barang]]="","",VLOOKUP(TblGabungan[[#This Row],[Kode Barang]],Table_Barang[#All],2,0))</f>
        <v>Lemari Besi</v>
      </c>
      <c r="H70" t="str">
        <f>VLOOKUP(TblGabungan[[#This Row],[Kode Barang]],Table_Barang[#All],4,0)</f>
        <v>Unit</v>
      </c>
      <c r="I70" s="9">
        <f>IF(TblGabungan[[#This Row],[Kode Barang]]="","",VLOOKUP(TblGabungan[[#This Row],[Kode Barang]],Table_Barang[#All],5,0))</f>
        <v>136800</v>
      </c>
      <c r="J70">
        <f>IF(TblGabungan[[#This Row],[Kode Barang]]="","",VLOOKUP(TblGabungan[[#This Row],[Kode Barang]],TblStokAkhir[#All],3,0))</f>
        <v>0</v>
      </c>
      <c r="K70">
        <f>IF(TblGabungan[[#This Row],[Kode Barang]]="","",VLOOKUP(TblGabungan[[#This Row],[Kode Barang]],TblStokAkhir[#All],4,0))</f>
        <v>0</v>
      </c>
      <c r="L70">
        <f>IF(TblGabungan[[#This Row],[Kode Barang]]="","",VLOOKUP(TblGabungan[[#This Row],[Kode Barang]],TblStokAkhir[#All],5,0))</f>
        <v>294</v>
      </c>
      <c r="M70">
        <f>IF(TblGabungan[[#This Row],[Kode Barang]]="","",VLOOKUP(TblGabungan[[#This Row],[Kode Barang]],TblStokAkhir[#All],5,0))</f>
        <v>294</v>
      </c>
      <c r="N70">
        <f>IF(TblGabungan[[#This Row],[Kode Barang]]="","",VLOOKUP(TblGabungan[[#This Row],[Kode Barang]],TblStokAkhir[#All],7,0))</f>
        <v>30</v>
      </c>
      <c r="O70" t="str">
        <f>IF(TblGabungan[[#This Row],[Kode Barang]]="","",VLOOKUP(TblGabungan[[#This Row],[Kode Barang]],TblStokAkhir[#All],8,0))</f>
        <v>Aman</v>
      </c>
    </row>
    <row r="71" spans="6:15" x14ac:dyDescent="0.3">
      <c r="F71" t="str">
        <f>Table_Barang[[#This Row],[Kode Barang]]</f>
        <v>ARS060</v>
      </c>
      <c r="G71" t="str">
        <f>IF(TblGabungan[[#This Row],[Kode Barang]]="","",VLOOKUP(TblGabungan[[#This Row],[Kode Barang]],Table_Barang[#All],2,0))</f>
        <v>Map Kertas</v>
      </c>
      <c r="H71" t="str">
        <f>VLOOKUP(TblGabungan[[#This Row],[Kode Barang]],Table_Barang[#All],4,0)</f>
        <v>Pack</v>
      </c>
      <c r="I71" s="9">
        <f>IF(TblGabungan[[#This Row],[Kode Barang]]="","",VLOOKUP(TblGabungan[[#This Row],[Kode Barang]],Table_Barang[#All],5,0))</f>
        <v>94400</v>
      </c>
      <c r="J71">
        <f>IF(TblGabungan[[#This Row],[Kode Barang]]="","",VLOOKUP(TblGabungan[[#This Row],[Kode Barang]],TblStokAkhir[#All],3,0))</f>
        <v>0</v>
      </c>
      <c r="K71">
        <f>IF(TblGabungan[[#This Row],[Kode Barang]]="","",VLOOKUP(TblGabungan[[#This Row],[Kode Barang]],TblStokAkhir[#All],4,0))</f>
        <v>0</v>
      </c>
      <c r="L71">
        <f>IF(TblGabungan[[#This Row],[Kode Barang]]="","",VLOOKUP(TblGabungan[[#This Row],[Kode Barang]],TblStokAkhir[#All],5,0))</f>
        <v>73</v>
      </c>
      <c r="M71">
        <f>IF(TblGabungan[[#This Row],[Kode Barang]]="","",VLOOKUP(TblGabungan[[#This Row],[Kode Barang]],TblStokAkhir[#All],5,0))</f>
        <v>73</v>
      </c>
      <c r="N71">
        <f>IF(TblGabungan[[#This Row],[Kode Barang]]="","",VLOOKUP(TblGabungan[[#This Row],[Kode Barang]],TblStokAkhir[#All],7,0))</f>
        <v>30</v>
      </c>
      <c r="O71" t="str">
        <f>IF(TblGabungan[[#This Row],[Kode Barang]]="","",VLOOKUP(TblGabungan[[#This Row],[Kode Barang]],TblStokAkhir[#All],8,0))</f>
        <v>Aman</v>
      </c>
    </row>
    <row r="72" spans="6:15" x14ac:dyDescent="0.3">
      <c r="F72" t="str">
        <f>Table_Barang[[#This Row],[Kode Barang]]</f>
        <v>ATK061</v>
      </c>
      <c r="G72" t="str">
        <f>IF(TblGabungan[[#This Row],[Kode Barang]]="","",VLOOKUP(TblGabungan[[#This Row],[Kode Barang]],Table_Barang[#All],2,0))</f>
        <v>Pensil HB</v>
      </c>
      <c r="H72" t="str">
        <f>VLOOKUP(TblGabungan[[#This Row],[Kode Barang]],Table_Barang[#All],4,0)</f>
        <v>Pcs</v>
      </c>
      <c r="I72" s="9">
        <f>IF(TblGabungan[[#This Row],[Kode Barang]]="","",VLOOKUP(TblGabungan[[#This Row],[Kode Barang]],Table_Barang[#All],5,0))</f>
        <v>54300</v>
      </c>
      <c r="J72">
        <f>IF(TblGabungan[[#This Row],[Kode Barang]]="","",VLOOKUP(TblGabungan[[#This Row],[Kode Barang]],TblStokAkhir[#All],3,0))</f>
        <v>35</v>
      </c>
      <c r="K72">
        <f>IF(TblGabungan[[#This Row],[Kode Barang]]="","",VLOOKUP(TblGabungan[[#This Row],[Kode Barang]],TblStokAkhir[#All],4,0))</f>
        <v>0</v>
      </c>
      <c r="L72">
        <f>IF(TblGabungan[[#This Row],[Kode Barang]]="","",VLOOKUP(TblGabungan[[#This Row],[Kode Barang]],TblStokAkhir[#All],5,0))</f>
        <v>56</v>
      </c>
      <c r="M72">
        <f>IF(TblGabungan[[#This Row],[Kode Barang]]="","",VLOOKUP(TblGabungan[[#This Row],[Kode Barang]],TblStokAkhir[#All],5,0))</f>
        <v>56</v>
      </c>
      <c r="N72">
        <f>IF(TblGabungan[[#This Row],[Kode Barang]]="","",VLOOKUP(TblGabungan[[#This Row],[Kode Barang]],TblStokAkhir[#All],7,0))</f>
        <v>30</v>
      </c>
      <c r="O72" t="str">
        <f>IF(TblGabungan[[#This Row],[Kode Barang]]="","",VLOOKUP(TblGabungan[[#This Row],[Kode Barang]],TblStokAkhir[#All],8,0))</f>
        <v>Aman</v>
      </c>
    </row>
    <row r="73" spans="6:15" x14ac:dyDescent="0.3">
      <c r="F73" t="str">
        <f>Table_Barang[[#This Row],[Kode Barang]]</f>
        <v>ATK062</v>
      </c>
      <c r="G73" t="str">
        <f>IF(TblGabungan[[#This Row],[Kode Barang]]="","",VLOOKUP(TblGabungan[[#This Row],[Kode Barang]],Table_Barang[#All],2,0))</f>
        <v>Binder Clip</v>
      </c>
      <c r="H73" t="str">
        <f>VLOOKUP(TblGabungan[[#This Row],[Kode Barang]],Table_Barang[#All],4,0)</f>
        <v>Pcs</v>
      </c>
      <c r="I73" s="9">
        <f>IF(TblGabungan[[#This Row],[Kode Barang]]="","",VLOOKUP(TblGabungan[[#This Row],[Kode Barang]],Table_Barang[#All],5,0))</f>
        <v>140000</v>
      </c>
      <c r="J73">
        <f>IF(TblGabungan[[#This Row],[Kode Barang]]="","",VLOOKUP(TblGabungan[[#This Row],[Kode Barang]],TblStokAkhir[#All],3,0))</f>
        <v>0</v>
      </c>
      <c r="K73">
        <f>IF(TblGabungan[[#This Row],[Kode Barang]]="","",VLOOKUP(TblGabungan[[#This Row],[Kode Barang]],TblStokAkhir[#All],4,0))</f>
        <v>0</v>
      </c>
      <c r="L73">
        <f>IF(TblGabungan[[#This Row],[Kode Barang]]="","",VLOOKUP(TblGabungan[[#This Row],[Kode Barang]],TblStokAkhir[#All],5,0))</f>
        <v>129</v>
      </c>
      <c r="M73">
        <f>IF(TblGabungan[[#This Row],[Kode Barang]]="","",VLOOKUP(TblGabungan[[#This Row],[Kode Barang]],TblStokAkhir[#All],5,0))</f>
        <v>129</v>
      </c>
      <c r="N73">
        <f>IF(TblGabungan[[#This Row],[Kode Barang]]="","",VLOOKUP(TblGabungan[[#This Row],[Kode Barang]],TblStokAkhir[#All],7,0))</f>
        <v>10</v>
      </c>
      <c r="O73" t="str">
        <f>IF(TblGabungan[[#This Row],[Kode Barang]]="","",VLOOKUP(TblGabungan[[#This Row],[Kode Barang]],TblStokAkhir[#All],8,0))</f>
        <v>Aman</v>
      </c>
    </row>
    <row r="74" spans="6:15" x14ac:dyDescent="0.3">
      <c r="F74" t="str">
        <f>Table_Barang[[#This Row],[Kode Barang]]</f>
        <v>ATK063</v>
      </c>
      <c r="G74" t="str">
        <f>IF(TblGabungan[[#This Row],[Kode Barang]]="","",VLOOKUP(TblGabungan[[#This Row],[Kode Barang]],Table_Barang[#All],2,0))</f>
        <v>Binder Clip</v>
      </c>
      <c r="H74" t="str">
        <f>VLOOKUP(TblGabungan[[#This Row],[Kode Barang]],Table_Barang[#All],4,0)</f>
        <v>Pack</v>
      </c>
      <c r="I74" s="9">
        <f>IF(TblGabungan[[#This Row],[Kode Barang]]="","",VLOOKUP(TblGabungan[[#This Row],[Kode Barang]],Table_Barang[#All],5,0))</f>
        <v>72000</v>
      </c>
      <c r="J74">
        <f>IF(TblGabungan[[#This Row],[Kode Barang]]="","",VLOOKUP(TblGabungan[[#This Row],[Kode Barang]],TblStokAkhir[#All],3,0))</f>
        <v>0</v>
      </c>
      <c r="K74">
        <f>IF(TblGabungan[[#This Row],[Kode Barang]]="","",VLOOKUP(TblGabungan[[#This Row],[Kode Barang]],TblStokAkhir[#All],4,0))</f>
        <v>0</v>
      </c>
      <c r="L74">
        <f>IF(TblGabungan[[#This Row],[Kode Barang]]="","",VLOOKUP(TblGabungan[[#This Row],[Kode Barang]],TblStokAkhir[#All],5,0))</f>
        <v>98</v>
      </c>
      <c r="M74">
        <f>IF(TblGabungan[[#This Row],[Kode Barang]]="","",VLOOKUP(TblGabungan[[#This Row],[Kode Barang]],TblStokAkhir[#All],5,0))</f>
        <v>98</v>
      </c>
      <c r="N74">
        <f>IF(TblGabungan[[#This Row],[Kode Barang]]="","",VLOOKUP(TblGabungan[[#This Row],[Kode Barang]],TblStokAkhir[#All],7,0))</f>
        <v>20</v>
      </c>
      <c r="O74" t="str">
        <f>IF(TblGabungan[[#This Row],[Kode Barang]]="","",VLOOKUP(TblGabungan[[#This Row],[Kode Barang]],TblStokAkhir[#All],8,0))</f>
        <v>Aman</v>
      </c>
    </row>
    <row r="75" spans="6:15" x14ac:dyDescent="0.3">
      <c r="F75" t="str">
        <f>Table_Barang[[#This Row],[Kode Barang]]</f>
        <v>KEB064</v>
      </c>
      <c r="G75" t="str">
        <f>IF(TblGabungan[[#This Row],[Kode Barang]]="","",VLOOKUP(TblGabungan[[#This Row],[Kode Barang]],Table_Barang[#All],2,0))</f>
        <v>Disinfektan</v>
      </c>
      <c r="H75" t="str">
        <f>VLOOKUP(TblGabungan[[#This Row],[Kode Barang]],Table_Barang[#All],4,0)</f>
        <v>Liter</v>
      </c>
      <c r="I75" s="9">
        <f>IF(TblGabungan[[#This Row],[Kode Barang]]="","",VLOOKUP(TblGabungan[[#This Row],[Kode Barang]],Table_Barang[#All],5,0))</f>
        <v>92900</v>
      </c>
      <c r="J75">
        <f>IF(TblGabungan[[#This Row],[Kode Barang]]="","",VLOOKUP(TblGabungan[[#This Row],[Kode Barang]],TblStokAkhir[#All],3,0))</f>
        <v>0</v>
      </c>
      <c r="K75">
        <f>IF(TblGabungan[[#This Row],[Kode Barang]]="","",VLOOKUP(TblGabungan[[#This Row],[Kode Barang]],TblStokAkhir[#All],4,0))</f>
        <v>0</v>
      </c>
      <c r="L75">
        <f>IF(TblGabungan[[#This Row],[Kode Barang]]="","",VLOOKUP(TblGabungan[[#This Row],[Kode Barang]],TblStokAkhir[#All],5,0))</f>
        <v>194</v>
      </c>
      <c r="M75">
        <f>IF(TblGabungan[[#This Row],[Kode Barang]]="","",VLOOKUP(TblGabungan[[#This Row],[Kode Barang]],TblStokAkhir[#All],5,0))</f>
        <v>194</v>
      </c>
      <c r="N75">
        <f>IF(TblGabungan[[#This Row],[Kode Barang]]="","",VLOOKUP(TblGabungan[[#This Row],[Kode Barang]],TblStokAkhir[#All],7,0))</f>
        <v>20</v>
      </c>
      <c r="O75" t="str">
        <f>IF(TblGabungan[[#This Row],[Kode Barang]]="","",VLOOKUP(TblGabungan[[#This Row],[Kode Barang]],TblStokAkhir[#All],8,0))</f>
        <v>Aman</v>
      </c>
    </row>
    <row r="76" spans="6:15" x14ac:dyDescent="0.3">
      <c r="F76" t="str">
        <f>Table_Barang[[#This Row],[Kode Barang]]</f>
        <v>ATK065</v>
      </c>
      <c r="G76" t="str">
        <f>IF(TblGabungan[[#This Row],[Kode Barang]]="","",VLOOKUP(TblGabungan[[#This Row],[Kode Barang]],Table_Barang[#All],2,0))</f>
        <v>Kertas HVS</v>
      </c>
      <c r="H76" t="str">
        <f>VLOOKUP(TblGabungan[[#This Row],[Kode Barang]],Table_Barang[#All],4,0)</f>
        <v>Pack</v>
      </c>
      <c r="I76" s="9">
        <f>IF(TblGabungan[[#This Row],[Kode Barang]]="","",VLOOKUP(TblGabungan[[#This Row],[Kode Barang]],Table_Barang[#All],5,0))</f>
        <v>15700</v>
      </c>
      <c r="J76">
        <f>IF(TblGabungan[[#This Row],[Kode Barang]]="","",VLOOKUP(TblGabungan[[#This Row],[Kode Barang]],TblStokAkhir[#All],3,0))</f>
        <v>6</v>
      </c>
      <c r="K76">
        <f>IF(TblGabungan[[#This Row],[Kode Barang]]="","",VLOOKUP(TblGabungan[[#This Row],[Kode Barang]],TblStokAkhir[#All],4,0))</f>
        <v>0</v>
      </c>
      <c r="L76">
        <f>IF(TblGabungan[[#This Row],[Kode Barang]]="","",VLOOKUP(TblGabungan[[#This Row],[Kode Barang]],TblStokAkhir[#All],5,0))</f>
        <v>222</v>
      </c>
      <c r="M76">
        <f>IF(TblGabungan[[#This Row],[Kode Barang]]="","",VLOOKUP(TblGabungan[[#This Row],[Kode Barang]],TblStokAkhir[#All],5,0))</f>
        <v>222</v>
      </c>
      <c r="N76">
        <f>IF(TblGabungan[[#This Row],[Kode Barang]]="","",VLOOKUP(TblGabungan[[#This Row],[Kode Barang]],TblStokAkhir[#All],7,0))</f>
        <v>20</v>
      </c>
      <c r="O76" t="str">
        <f>IF(TblGabungan[[#This Row],[Kode Barang]]="","",VLOOKUP(TblGabungan[[#This Row],[Kode Barang]],TblStokAkhir[#All],8,0))</f>
        <v>Aman</v>
      </c>
    </row>
    <row r="77" spans="6:15" x14ac:dyDescent="0.3">
      <c r="F77" t="str">
        <f>Table_Barang[[#This Row],[Kode Barang]]</f>
        <v>KEB066</v>
      </c>
      <c r="G77" t="str">
        <f>IF(TblGabungan[[#This Row],[Kode Barang]]="","",VLOOKUP(TblGabungan[[#This Row],[Kode Barang]],Table_Barang[#All],2,0))</f>
        <v>Pel Lantai</v>
      </c>
      <c r="H77" t="str">
        <f>VLOOKUP(TblGabungan[[#This Row],[Kode Barang]],Table_Barang[#All],4,0)</f>
        <v>Liter</v>
      </c>
      <c r="I77" s="9">
        <f>IF(TblGabungan[[#This Row],[Kode Barang]]="","",VLOOKUP(TblGabungan[[#This Row],[Kode Barang]],Table_Barang[#All],5,0))</f>
        <v>120700</v>
      </c>
      <c r="J77">
        <f>IF(TblGabungan[[#This Row],[Kode Barang]]="","",VLOOKUP(TblGabungan[[#This Row],[Kode Barang]],TblStokAkhir[#All],3,0))</f>
        <v>0</v>
      </c>
      <c r="K77">
        <f>IF(TblGabungan[[#This Row],[Kode Barang]]="","",VLOOKUP(TblGabungan[[#This Row],[Kode Barang]],TblStokAkhir[#All],4,0))</f>
        <v>15</v>
      </c>
      <c r="L77">
        <f>IF(TblGabungan[[#This Row],[Kode Barang]]="","",VLOOKUP(TblGabungan[[#This Row],[Kode Barang]],TblStokAkhir[#All],5,0))</f>
        <v>107</v>
      </c>
      <c r="M77">
        <f>IF(TblGabungan[[#This Row],[Kode Barang]]="","",VLOOKUP(TblGabungan[[#This Row],[Kode Barang]],TblStokAkhir[#All],5,0))</f>
        <v>107</v>
      </c>
      <c r="N77">
        <f>IF(TblGabungan[[#This Row],[Kode Barang]]="","",VLOOKUP(TblGabungan[[#This Row],[Kode Barang]],TblStokAkhir[#All],7,0))</f>
        <v>20</v>
      </c>
      <c r="O77" t="str">
        <f>IF(TblGabungan[[#This Row],[Kode Barang]]="","",VLOOKUP(TblGabungan[[#This Row],[Kode Barang]],TblStokAkhir[#All],8,0))</f>
        <v>Aman</v>
      </c>
    </row>
    <row r="78" spans="6:15" x14ac:dyDescent="0.3">
      <c r="F78" t="str">
        <f>Table_Barang[[#This Row],[Kode Barang]]</f>
        <v>KEB067</v>
      </c>
      <c r="G78" t="str">
        <f>IF(TblGabungan[[#This Row],[Kode Barang]]="","",VLOOKUP(TblGabungan[[#This Row],[Kode Barang]],Table_Barang[#All],2,0))</f>
        <v>Tisu</v>
      </c>
      <c r="H78" t="str">
        <f>VLOOKUP(TblGabungan[[#This Row],[Kode Barang]],Table_Barang[#All],4,0)</f>
        <v>Pcs</v>
      </c>
      <c r="I78" s="9">
        <f>IF(TblGabungan[[#This Row],[Kode Barang]]="","",VLOOKUP(TblGabungan[[#This Row],[Kode Barang]],Table_Barang[#All],5,0))</f>
        <v>25700</v>
      </c>
      <c r="J78">
        <f>IF(TblGabungan[[#This Row],[Kode Barang]]="","",VLOOKUP(TblGabungan[[#This Row],[Kode Barang]],TblStokAkhir[#All],3,0))</f>
        <v>0</v>
      </c>
      <c r="K78">
        <f>IF(TblGabungan[[#This Row],[Kode Barang]]="","",VLOOKUP(TblGabungan[[#This Row],[Kode Barang]],TblStokAkhir[#All],4,0))</f>
        <v>66</v>
      </c>
      <c r="L78">
        <f>IF(TblGabungan[[#This Row],[Kode Barang]]="","",VLOOKUP(TblGabungan[[#This Row],[Kode Barang]],TblStokAkhir[#All],5,0))</f>
        <v>178</v>
      </c>
      <c r="M78">
        <f>IF(TblGabungan[[#This Row],[Kode Barang]]="","",VLOOKUP(TblGabungan[[#This Row],[Kode Barang]],TblStokAkhir[#All],5,0))</f>
        <v>178</v>
      </c>
      <c r="N78">
        <f>IF(TblGabungan[[#This Row],[Kode Barang]]="","",VLOOKUP(TblGabungan[[#This Row],[Kode Barang]],TblStokAkhir[#All],7,0))</f>
        <v>30</v>
      </c>
      <c r="O78" t="str">
        <f>IF(TblGabungan[[#This Row],[Kode Barang]]="","",VLOOKUP(TblGabungan[[#This Row],[Kode Barang]],TblStokAkhir[#All],8,0))</f>
        <v>Aman</v>
      </c>
    </row>
    <row r="79" spans="6:15" x14ac:dyDescent="0.3">
      <c r="F79" t="str">
        <f>Table_Barang[[#This Row],[Kode Barang]]</f>
        <v>ELE068</v>
      </c>
      <c r="G79" t="str">
        <f>IF(TblGabungan[[#This Row],[Kode Barang]]="","",VLOOKUP(TblGabungan[[#This Row],[Kode Barang]],Table_Barang[#All],2,0))</f>
        <v>Kabel HDMI</v>
      </c>
      <c r="H79" t="str">
        <f>VLOOKUP(TblGabungan[[#This Row],[Kode Barang]],Table_Barang[#All],4,0)</f>
        <v>Set</v>
      </c>
      <c r="I79" s="9">
        <f>IF(TblGabungan[[#This Row],[Kode Barang]]="","",VLOOKUP(TblGabungan[[#This Row],[Kode Barang]],Table_Barang[#All],5,0))</f>
        <v>49900</v>
      </c>
      <c r="J79">
        <f>IF(TblGabungan[[#This Row],[Kode Barang]]="","",VLOOKUP(TblGabungan[[#This Row],[Kode Barang]],TblStokAkhir[#All],3,0))</f>
        <v>0</v>
      </c>
      <c r="K79">
        <f>IF(TblGabungan[[#This Row],[Kode Barang]]="","",VLOOKUP(TblGabungan[[#This Row],[Kode Barang]],TblStokAkhir[#All],4,0))</f>
        <v>0</v>
      </c>
      <c r="L79">
        <f>IF(TblGabungan[[#This Row],[Kode Barang]]="","",VLOOKUP(TblGabungan[[#This Row],[Kode Barang]],TblStokAkhir[#All],5,0))</f>
        <v>138</v>
      </c>
      <c r="M79">
        <f>IF(TblGabungan[[#This Row],[Kode Barang]]="","",VLOOKUP(TblGabungan[[#This Row],[Kode Barang]],TblStokAkhir[#All],5,0))</f>
        <v>138</v>
      </c>
      <c r="N79">
        <f>IF(TblGabungan[[#This Row],[Kode Barang]]="","",VLOOKUP(TblGabungan[[#This Row],[Kode Barang]],TblStokAkhir[#All],7,0))</f>
        <v>30</v>
      </c>
      <c r="O79" t="str">
        <f>IF(TblGabungan[[#This Row],[Kode Barang]]="","",VLOOKUP(TblGabungan[[#This Row],[Kode Barang]],TblStokAkhir[#All],8,0))</f>
        <v>Aman</v>
      </c>
    </row>
    <row r="80" spans="6:15" x14ac:dyDescent="0.3">
      <c r="F80" t="str">
        <f>Table_Barang[[#This Row],[Kode Barang]]</f>
        <v>ARS069</v>
      </c>
      <c r="G80" t="str">
        <f>IF(TblGabungan[[#This Row],[Kode Barang]]="","",VLOOKUP(TblGabungan[[#This Row],[Kode Barang]],Table_Barang[#All],2,0))</f>
        <v>Ordner</v>
      </c>
      <c r="H80" t="str">
        <f>VLOOKUP(TblGabungan[[#This Row],[Kode Barang]],Table_Barang[#All],4,0)</f>
        <v>Pack</v>
      </c>
      <c r="I80" s="9">
        <f>IF(TblGabungan[[#This Row],[Kode Barang]]="","",VLOOKUP(TblGabungan[[#This Row],[Kode Barang]],Table_Barang[#All],5,0))</f>
        <v>24100</v>
      </c>
      <c r="J80">
        <f>IF(TblGabungan[[#This Row],[Kode Barang]]="","",VLOOKUP(TblGabungan[[#This Row],[Kode Barang]],TblStokAkhir[#All],3,0))</f>
        <v>69</v>
      </c>
      <c r="K80">
        <f>IF(TblGabungan[[#This Row],[Kode Barang]]="","",VLOOKUP(TblGabungan[[#This Row],[Kode Barang]],TblStokAkhir[#All],4,0))</f>
        <v>0</v>
      </c>
      <c r="L80">
        <f>IF(TblGabungan[[#This Row],[Kode Barang]]="","",VLOOKUP(TblGabungan[[#This Row],[Kode Barang]],TblStokAkhir[#All],5,0))</f>
        <v>100</v>
      </c>
      <c r="M80">
        <f>IF(TblGabungan[[#This Row],[Kode Barang]]="","",VLOOKUP(TblGabungan[[#This Row],[Kode Barang]],TblStokAkhir[#All],5,0))</f>
        <v>100</v>
      </c>
      <c r="N80">
        <f>IF(TblGabungan[[#This Row],[Kode Barang]]="","",VLOOKUP(TblGabungan[[#This Row],[Kode Barang]],TblStokAkhir[#All],7,0))</f>
        <v>30</v>
      </c>
      <c r="O80" t="str">
        <f>IF(TblGabungan[[#This Row],[Kode Barang]]="","",VLOOKUP(TblGabungan[[#This Row],[Kode Barang]],TblStokAkhir[#All],8,0))</f>
        <v>Aman</v>
      </c>
    </row>
    <row r="81" spans="6:15" x14ac:dyDescent="0.3">
      <c r="F81" t="str">
        <f>Table_Barang[[#This Row],[Kode Barang]]</f>
        <v>ATK070</v>
      </c>
      <c r="G81" t="str">
        <f>IF(TblGabungan[[#This Row],[Kode Barang]]="","",VLOOKUP(TblGabungan[[#This Row],[Kode Barang]],Table_Barang[#All],2,0))</f>
        <v>Buku Tulis</v>
      </c>
      <c r="H81" t="str">
        <f>VLOOKUP(TblGabungan[[#This Row],[Kode Barang]],Table_Barang[#All],4,0)</f>
        <v>Pack</v>
      </c>
      <c r="I81" s="9">
        <f>IF(TblGabungan[[#This Row],[Kode Barang]]="","",VLOOKUP(TblGabungan[[#This Row],[Kode Barang]],Table_Barang[#All],5,0))</f>
        <v>122500</v>
      </c>
      <c r="J81">
        <f>IF(TblGabungan[[#This Row],[Kode Barang]]="","",VLOOKUP(TblGabungan[[#This Row],[Kode Barang]],TblStokAkhir[#All],3,0))</f>
        <v>0</v>
      </c>
      <c r="K81">
        <f>IF(TblGabungan[[#This Row],[Kode Barang]]="","",VLOOKUP(TblGabungan[[#This Row],[Kode Barang]],TblStokAkhir[#All],4,0))</f>
        <v>0</v>
      </c>
      <c r="L81">
        <f>IF(TblGabungan[[#This Row],[Kode Barang]]="","",VLOOKUP(TblGabungan[[#This Row],[Kode Barang]],TblStokAkhir[#All],5,0))</f>
        <v>159</v>
      </c>
      <c r="M81">
        <f>IF(TblGabungan[[#This Row],[Kode Barang]]="","",VLOOKUP(TblGabungan[[#This Row],[Kode Barang]],TblStokAkhir[#All],5,0))</f>
        <v>159</v>
      </c>
      <c r="N81">
        <f>IF(TblGabungan[[#This Row],[Kode Barang]]="","",VLOOKUP(TblGabungan[[#This Row],[Kode Barang]],TblStokAkhir[#All],7,0))</f>
        <v>10</v>
      </c>
      <c r="O81" t="str">
        <f>IF(TblGabungan[[#This Row],[Kode Barang]]="","",VLOOKUP(TblGabungan[[#This Row],[Kode Barang]],TblStokAkhir[#All],8,0))</f>
        <v>Aman</v>
      </c>
    </row>
    <row r="82" spans="6:15" x14ac:dyDescent="0.3">
      <c r="F82" t="str">
        <f>Table_Barang[[#This Row],[Kode Barang]]</f>
        <v>ARS071</v>
      </c>
      <c r="G82" t="str">
        <f>IF(TblGabungan[[#This Row],[Kode Barang]]="","",VLOOKUP(TblGabungan[[#This Row],[Kode Barang]],Table_Barang[#All],2,0))</f>
        <v>Ordner</v>
      </c>
      <c r="H82" t="str">
        <f>VLOOKUP(TblGabungan[[#This Row],[Kode Barang]],Table_Barang[#All],4,0)</f>
        <v>Box</v>
      </c>
      <c r="I82" s="9">
        <f>IF(TblGabungan[[#This Row],[Kode Barang]]="","",VLOOKUP(TblGabungan[[#This Row],[Kode Barang]],Table_Barang[#All],5,0))</f>
        <v>28300</v>
      </c>
      <c r="J82">
        <f>IF(TblGabungan[[#This Row],[Kode Barang]]="","",VLOOKUP(TblGabungan[[#This Row],[Kode Barang]],TblStokAkhir[#All],3,0))</f>
        <v>0</v>
      </c>
      <c r="K82">
        <f>IF(TblGabungan[[#This Row],[Kode Barang]]="","",VLOOKUP(TblGabungan[[#This Row],[Kode Barang]],TblStokAkhir[#All],4,0))</f>
        <v>28</v>
      </c>
      <c r="L82">
        <f>IF(TblGabungan[[#This Row],[Kode Barang]]="","",VLOOKUP(TblGabungan[[#This Row],[Kode Barang]],TblStokAkhir[#All],5,0))</f>
        <v>162</v>
      </c>
      <c r="M82">
        <f>IF(TblGabungan[[#This Row],[Kode Barang]]="","",VLOOKUP(TblGabungan[[#This Row],[Kode Barang]],TblStokAkhir[#All],5,0))</f>
        <v>162</v>
      </c>
      <c r="N82">
        <f>IF(TblGabungan[[#This Row],[Kode Barang]]="","",VLOOKUP(TblGabungan[[#This Row],[Kode Barang]],TblStokAkhir[#All],7,0))</f>
        <v>30</v>
      </c>
      <c r="O82" t="str">
        <f>IF(TblGabungan[[#This Row],[Kode Barang]]="","",VLOOKUP(TblGabungan[[#This Row],[Kode Barang]],TblStokAkhir[#All],8,0))</f>
        <v>Aman</v>
      </c>
    </row>
    <row r="83" spans="6:15" x14ac:dyDescent="0.3">
      <c r="F83" t="str">
        <f>Table_Barang[[#This Row],[Kode Barang]]</f>
        <v>PER072</v>
      </c>
      <c r="G83" t="str">
        <f>IF(TblGabungan[[#This Row],[Kode Barang]]="","",VLOOKUP(TblGabungan[[#This Row],[Kode Barang]],Table_Barang[#All],2,0))</f>
        <v>Lemari Besi</v>
      </c>
      <c r="H83" t="str">
        <f>VLOOKUP(TblGabungan[[#This Row],[Kode Barang]],Table_Barang[#All],4,0)</f>
        <v>Set</v>
      </c>
      <c r="I83" s="9">
        <f>IF(TblGabungan[[#This Row],[Kode Barang]]="","",VLOOKUP(TblGabungan[[#This Row],[Kode Barang]],Table_Barang[#All],5,0))</f>
        <v>32200</v>
      </c>
      <c r="J83">
        <f>IF(TblGabungan[[#This Row],[Kode Barang]]="","",VLOOKUP(TblGabungan[[#This Row],[Kode Barang]],TblStokAkhir[#All],3,0))</f>
        <v>0</v>
      </c>
      <c r="K83">
        <f>IF(TblGabungan[[#This Row],[Kode Barang]]="","",VLOOKUP(TblGabungan[[#This Row],[Kode Barang]],TblStokAkhir[#All],4,0))</f>
        <v>0</v>
      </c>
      <c r="L83">
        <f>IF(TblGabungan[[#This Row],[Kode Barang]]="","",VLOOKUP(TblGabungan[[#This Row],[Kode Barang]],TblStokAkhir[#All],5,0))</f>
        <v>273</v>
      </c>
      <c r="M83">
        <f>IF(TblGabungan[[#This Row],[Kode Barang]]="","",VLOOKUP(TblGabungan[[#This Row],[Kode Barang]],TblStokAkhir[#All],5,0))</f>
        <v>273</v>
      </c>
      <c r="N83">
        <f>IF(TblGabungan[[#This Row],[Kode Barang]]="","",VLOOKUP(TblGabungan[[#This Row],[Kode Barang]],TblStokAkhir[#All],7,0))</f>
        <v>10</v>
      </c>
      <c r="O83" t="str">
        <f>IF(TblGabungan[[#This Row],[Kode Barang]]="","",VLOOKUP(TblGabungan[[#This Row],[Kode Barang]],TblStokAkhir[#All],8,0))</f>
        <v>Aman</v>
      </c>
    </row>
    <row r="84" spans="6:15" x14ac:dyDescent="0.3">
      <c r="F84" t="str">
        <f>Table_Barang[[#This Row],[Kode Barang]]</f>
        <v>ELE073</v>
      </c>
      <c r="G84" t="str">
        <f>IF(TblGabungan[[#This Row],[Kode Barang]]="","",VLOOKUP(TblGabungan[[#This Row],[Kode Barang]],Table_Barang[#All],2,0))</f>
        <v>Adaptor 5V</v>
      </c>
      <c r="H84" t="str">
        <f>VLOOKUP(TblGabungan[[#This Row],[Kode Barang]],Table_Barang[#All],4,0)</f>
        <v>Unit</v>
      </c>
      <c r="I84" s="9">
        <f>IF(TblGabungan[[#This Row],[Kode Barang]]="","",VLOOKUP(TblGabungan[[#This Row],[Kode Barang]],Table_Barang[#All],5,0))</f>
        <v>10300</v>
      </c>
      <c r="J84">
        <f>IF(TblGabungan[[#This Row],[Kode Barang]]="","",VLOOKUP(TblGabungan[[#This Row],[Kode Barang]],TblStokAkhir[#All],3,0))</f>
        <v>0</v>
      </c>
      <c r="K84">
        <f>IF(TblGabungan[[#This Row],[Kode Barang]]="","",VLOOKUP(TblGabungan[[#This Row],[Kode Barang]],TblStokAkhir[#All],4,0))</f>
        <v>0</v>
      </c>
      <c r="L84">
        <f>IF(TblGabungan[[#This Row],[Kode Barang]]="","",VLOOKUP(TblGabungan[[#This Row],[Kode Barang]],TblStokAkhir[#All],5,0))</f>
        <v>134</v>
      </c>
      <c r="M84">
        <f>IF(TblGabungan[[#This Row],[Kode Barang]]="","",VLOOKUP(TblGabungan[[#This Row],[Kode Barang]],TblStokAkhir[#All],5,0))</f>
        <v>134</v>
      </c>
      <c r="N84">
        <f>IF(TblGabungan[[#This Row],[Kode Barang]]="","",VLOOKUP(TblGabungan[[#This Row],[Kode Barang]],TblStokAkhir[#All],7,0))</f>
        <v>20</v>
      </c>
      <c r="O84" t="str">
        <f>IF(TblGabungan[[#This Row],[Kode Barang]]="","",VLOOKUP(TblGabungan[[#This Row],[Kode Barang]],TblStokAkhir[#All],8,0))</f>
        <v>Aman</v>
      </c>
    </row>
    <row r="85" spans="6:15" x14ac:dyDescent="0.3">
      <c r="F85" t="str">
        <f>Table_Barang[[#This Row],[Kode Barang]]</f>
        <v>LAI074</v>
      </c>
      <c r="G85" t="str">
        <f>IF(TblGabungan[[#This Row],[Kode Barang]]="","",VLOOKUP(TblGabungan[[#This Row],[Kode Barang]],Table_Barang[#All],2,0))</f>
        <v>Benang</v>
      </c>
      <c r="H85" t="str">
        <f>VLOOKUP(TblGabungan[[#This Row],[Kode Barang]],Table_Barang[#All],4,0)</f>
        <v>Roll</v>
      </c>
      <c r="I85" s="9">
        <f>IF(TblGabungan[[#This Row],[Kode Barang]]="","",VLOOKUP(TblGabungan[[#This Row],[Kode Barang]],Table_Barang[#All],5,0))</f>
        <v>116300</v>
      </c>
      <c r="J85">
        <f>IF(TblGabungan[[#This Row],[Kode Barang]]="","",VLOOKUP(TblGabungan[[#This Row],[Kode Barang]],TblStokAkhir[#All],3,0))</f>
        <v>0</v>
      </c>
      <c r="K85">
        <f>IF(TblGabungan[[#This Row],[Kode Barang]]="","",VLOOKUP(TblGabungan[[#This Row],[Kode Barang]],TblStokAkhir[#All],4,0))</f>
        <v>30</v>
      </c>
      <c r="L85">
        <f>IF(TblGabungan[[#This Row],[Kode Barang]]="","",VLOOKUP(TblGabungan[[#This Row],[Kode Barang]],TblStokAkhir[#All],5,0))</f>
        <v>30</v>
      </c>
      <c r="M85">
        <f>IF(TblGabungan[[#This Row],[Kode Barang]]="","",VLOOKUP(TblGabungan[[#This Row],[Kode Barang]],TblStokAkhir[#All],5,0))</f>
        <v>30</v>
      </c>
      <c r="N85">
        <f>IF(TblGabungan[[#This Row],[Kode Barang]]="","",VLOOKUP(TblGabungan[[#This Row],[Kode Barang]],TblStokAkhir[#All],7,0))</f>
        <v>30</v>
      </c>
      <c r="O85" t="str">
        <f>IF(TblGabungan[[#This Row],[Kode Barang]]="","",VLOOKUP(TblGabungan[[#This Row],[Kode Barang]],TblStokAkhir[#All],8,0))</f>
        <v>Habis</v>
      </c>
    </row>
    <row r="86" spans="6:15" x14ac:dyDescent="0.3">
      <c r="F86" t="str">
        <f>Table_Barang[[#This Row],[Kode Barang]]</f>
        <v>LAI075</v>
      </c>
      <c r="G86" t="str">
        <f>IF(TblGabungan[[#This Row],[Kode Barang]]="","",VLOOKUP(TblGabungan[[#This Row],[Kode Barang]],Table_Barang[#All],2,0))</f>
        <v>Selotip</v>
      </c>
      <c r="H86" t="str">
        <f>VLOOKUP(TblGabungan[[#This Row],[Kode Barang]],Table_Barang[#All],4,0)</f>
        <v>Pcs</v>
      </c>
      <c r="I86" s="9">
        <f>IF(TblGabungan[[#This Row],[Kode Barang]]="","",VLOOKUP(TblGabungan[[#This Row],[Kode Barang]],Table_Barang[#All],5,0))</f>
        <v>68300</v>
      </c>
      <c r="J86">
        <f>IF(TblGabungan[[#This Row],[Kode Barang]]="","",VLOOKUP(TblGabungan[[#This Row],[Kode Barang]],TblStokAkhir[#All],3,0))</f>
        <v>0</v>
      </c>
      <c r="K86">
        <f>IF(TblGabungan[[#This Row],[Kode Barang]]="","",VLOOKUP(TblGabungan[[#This Row],[Kode Barang]],TblStokAkhir[#All],4,0))</f>
        <v>71</v>
      </c>
      <c r="L86">
        <f>IF(TblGabungan[[#This Row],[Kode Barang]]="","",VLOOKUP(TblGabungan[[#This Row],[Kode Barang]],TblStokAkhir[#All],5,0))</f>
        <v>262</v>
      </c>
      <c r="M86">
        <f>IF(TblGabungan[[#This Row],[Kode Barang]]="","",VLOOKUP(TblGabungan[[#This Row],[Kode Barang]],TblStokAkhir[#All],5,0))</f>
        <v>262</v>
      </c>
      <c r="N86">
        <f>IF(TblGabungan[[#This Row],[Kode Barang]]="","",VLOOKUP(TblGabungan[[#This Row],[Kode Barang]],TblStokAkhir[#All],7,0))</f>
        <v>30</v>
      </c>
      <c r="O86" t="str">
        <f>IF(TblGabungan[[#This Row],[Kode Barang]]="","",VLOOKUP(TblGabungan[[#This Row],[Kode Barang]],TblStokAkhir[#All],8,0))</f>
        <v>Aman</v>
      </c>
    </row>
    <row r="87" spans="6:15" x14ac:dyDescent="0.3">
      <c r="F87" t="str">
        <f>Table_Barang[[#This Row],[Kode Barang]]</f>
        <v>LAI076</v>
      </c>
      <c r="G87" t="str">
        <f>IF(TblGabungan[[#This Row],[Kode Barang]]="","",VLOOKUP(TblGabungan[[#This Row],[Kode Barang]],Table_Barang[#All],2,0))</f>
        <v>Kabel Ties</v>
      </c>
      <c r="H87" t="str">
        <f>VLOOKUP(TblGabungan[[#This Row],[Kode Barang]],Table_Barang[#All],4,0)</f>
        <v>Unit</v>
      </c>
      <c r="I87" s="9">
        <f>IF(TblGabungan[[#This Row],[Kode Barang]]="","",VLOOKUP(TblGabungan[[#This Row],[Kode Barang]],Table_Barang[#All],5,0))</f>
        <v>68000</v>
      </c>
      <c r="J87">
        <f>IF(TblGabungan[[#This Row],[Kode Barang]]="","",VLOOKUP(TblGabungan[[#This Row],[Kode Barang]],TblStokAkhir[#All],3,0))</f>
        <v>0</v>
      </c>
      <c r="K87">
        <f>IF(TblGabungan[[#This Row],[Kode Barang]]="","",VLOOKUP(TblGabungan[[#This Row],[Kode Barang]],TblStokAkhir[#All],4,0))</f>
        <v>0</v>
      </c>
      <c r="L87">
        <f>IF(TblGabungan[[#This Row],[Kode Barang]]="","",VLOOKUP(TblGabungan[[#This Row],[Kode Barang]],TblStokAkhir[#All],5,0))</f>
        <v>68</v>
      </c>
      <c r="M87">
        <f>IF(TblGabungan[[#This Row],[Kode Barang]]="","",VLOOKUP(TblGabungan[[#This Row],[Kode Barang]],TblStokAkhir[#All],5,0))</f>
        <v>68</v>
      </c>
      <c r="N87">
        <f>IF(TblGabungan[[#This Row],[Kode Barang]]="","",VLOOKUP(TblGabungan[[#This Row],[Kode Barang]],TblStokAkhir[#All],7,0))</f>
        <v>10</v>
      </c>
      <c r="O87" t="str">
        <f>IF(TblGabungan[[#This Row],[Kode Barang]]="","",VLOOKUP(TblGabungan[[#This Row],[Kode Barang]],TblStokAkhir[#All],8,0))</f>
        <v>Aman</v>
      </c>
    </row>
    <row r="88" spans="6:15" x14ac:dyDescent="0.3">
      <c r="F88" t="str">
        <f>Table_Barang[[#This Row],[Kode Barang]]</f>
        <v>ELE077</v>
      </c>
      <c r="G88" t="str">
        <f>IF(TblGabungan[[#This Row],[Kode Barang]]="","",VLOOKUP(TblGabungan[[#This Row],[Kode Barang]],Table_Barang[#All],2,0))</f>
        <v>Kabel HDMI</v>
      </c>
      <c r="H88" t="str">
        <f>VLOOKUP(TblGabungan[[#This Row],[Kode Barang]],Table_Barang[#All],4,0)</f>
        <v>Set</v>
      </c>
      <c r="I88" s="9">
        <f>IF(TblGabungan[[#This Row],[Kode Barang]]="","",VLOOKUP(TblGabungan[[#This Row],[Kode Barang]],Table_Barang[#All],5,0))</f>
        <v>99100</v>
      </c>
      <c r="J88">
        <f>IF(TblGabungan[[#This Row],[Kode Barang]]="","",VLOOKUP(TblGabungan[[#This Row],[Kode Barang]],TblStokAkhir[#All],3,0))</f>
        <v>0</v>
      </c>
      <c r="K88">
        <f>IF(TblGabungan[[#This Row],[Kode Barang]]="","",VLOOKUP(TblGabungan[[#This Row],[Kode Barang]],TblStokAkhir[#All],4,0))</f>
        <v>0</v>
      </c>
      <c r="L88">
        <f>IF(TblGabungan[[#This Row],[Kode Barang]]="","",VLOOKUP(TblGabungan[[#This Row],[Kode Barang]],TblStokAkhir[#All],5,0))</f>
        <v>56</v>
      </c>
      <c r="M88">
        <f>IF(TblGabungan[[#This Row],[Kode Barang]]="","",VLOOKUP(TblGabungan[[#This Row],[Kode Barang]],TblStokAkhir[#All],5,0))</f>
        <v>56</v>
      </c>
      <c r="N88">
        <f>IF(TblGabungan[[#This Row],[Kode Barang]]="","",VLOOKUP(TblGabungan[[#This Row],[Kode Barang]],TblStokAkhir[#All],7,0))</f>
        <v>30</v>
      </c>
      <c r="O88" t="str">
        <f>IF(TblGabungan[[#This Row],[Kode Barang]]="","",VLOOKUP(TblGabungan[[#This Row],[Kode Barang]],TblStokAkhir[#All],8,0))</f>
        <v>Aman</v>
      </c>
    </row>
    <row r="89" spans="6:15" x14ac:dyDescent="0.3">
      <c r="F89" t="str">
        <f>Table_Barang[[#This Row],[Kode Barang]]</f>
        <v>PER078</v>
      </c>
      <c r="G89" t="str">
        <f>IF(TblGabungan[[#This Row],[Kode Barang]]="","",VLOOKUP(TblGabungan[[#This Row],[Kode Barang]],Table_Barang[#All],2,0))</f>
        <v>Rak Buku</v>
      </c>
      <c r="H89" t="str">
        <f>VLOOKUP(TblGabungan[[#This Row],[Kode Barang]],Table_Barang[#All],4,0)</f>
        <v>Set</v>
      </c>
      <c r="I89" s="9">
        <f>IF(TblGabungan[[#This Row],[Kode Barang]]="","",VLOOKUP(TblGabungan[[#This Row],[Kode Barang]],Table_Barang[#All],5,0))</f>
        <v>5400</v>
      </c>
      <c r="J89">
        <f>IF(TblGabungan[[#This Row],[Kode Barang]]="","",VLOOKUP(TblGabungan[[#This Row],[Kode Barang]],TblStokAkhir[#All],3,0))</f>
        <v>0</v>
      </c>
      <c r="K89">
        <f>IF(TblGabungan[[#This Row],[Kode Barang]]="","",VLOOKUP(TblGabungan[[#This Row],[Kode Barang]],TblStokAkhir[#All],4,0))</f>
        <v>167</v>
      </c>
      <c r="L89">
        <f>IF(TblGabungan[[#This Row],[Kode Barang]]="","",VLOOKUP(TblGabungan[[#This Row],[Kode Barang]],TblStokAkhir[#All],5,0))</f>
        <v>261</v>
      </c>
      <c r="M89">
        <f>IF(TblGabungan[[#This Row],[Kode Barang]]="","",VLOOKUP(TblGabungan[[#This Row],[Kode Barang]],TblStokAkhir[#All],5,0))</f>
        <v>261</v>
      </c>
      <c r="N89">
        <f>IF(TblGabungan[[#This Row],[Kode Barang]]="","",VLOOKUP(TblGabungan[[#This Row],[Kode Barang]],TblStokAkhir[#All],7,0))</f>
        <v>30</v>
      </c>
      <c r="O89" t="str">
        <f>IF(TblGabungan[[#This Row],[Kode Barang]]="","",VLOOKUP(TblGabungan[[#This Row],[Kode Barang]],TblStokAkhir[#All],8,0))</f>
        <v>Aman</v>
      </c>
    </row>
    <row r="90" spans="6:15" x14ac:dyDescent="0.3">
      <c r="F90" t="str">
        <f>Table_Barang[[#This Row],[Kode Barang]]</f>
        <v>ATK079</v>
      </c>
      <c r="G90" t="str">
        <f>IF(TblGabungan[[#This Row],[Kode Barang]]="","",VLOOKUP(TblGabungan[[#This Row],[Kode Barang]],Table_Barang[#All],2,0))</f>
        <v>Map Plastik</v>
      </c>
      <c r="H90" t="str">
        <f>VLOOKUP(TblGabungan[[#This Row],[Kode Barang]],Table_Barang[#All],4,0)</f>
        <v>Box</v>
      </c>
      <c r="I90" s="9">
        <f>IF(TblGabungan[[#This Row],[Kode Barang]]="","",VLOOKUP(TblGabungan[[#This Row],[Kode Barang]],Table_Barang[#All],5,0))</f>
        <v>101700</v>
      </c>
      <c r="J90">
        <f>IF(TblGabungan[[#This Row],[Kode Barang]]="","",VLOOKUP(TblGabungan[[#This Row],[Kode Barang]],TblStokAkhir[#All],3,0))</f>
        <v>0</v>
      </c>
      <c r="K90">
        <f>IF(TblGabungan[[#This Row],[Kode Barang]]="","",VLOOKUP(TblGabungan[[#This Row],[Kode Barang]],TblStokAkhir[#All],4,0))</f>
        <v>0</v>
      </c>
      <c r="L90">
        <f>IF(TblGabungan[[#This Row],[Kode Barang]]="","",VLOOKUP(TblGabungan[[#This Row],[Kode Barang]],TblStokAkhir[#All],5,0))</f>
        <v>297</v>
      </c>
      <c r="M90">
        <f>IF(TblGabungan[[#This Row],[Kode Barang]]="","",VLOOKUP(TblGabungan[[#This Row],[Kode Barang]],TblStokAkhir[#All],5,0))</f>
        <v>297</v>
      </c>
      <c r="N90">
        <f>IF(TblGabungan[[#This Row],[Kode Barang]]="","",VLOOKUP(TblGabungan[[#This Row],[Kode Barang]],TblStokAkhir[#All],7,0))</f>
        <v>10</v>
      </c>
      <c r="O90" t="str">
        <f>IF(TblGabungan[[#This Row],[Kode Barang]]="","",VLOOKUP(TblGabungan[[#This Row],[Kode Barang]],TblStokAkhir[#All],8,0))</f>
        <v>Aman</v>
      </c>
    </row>
    <row r="91" spans="6:15" x14ac:dyDescent="0.3">
      <c r="F91" t="str">
        <f>Table_Barang[[#This Row],[Kode Barang]]</f>
        <v>ARS080</v>
      </c>
      <c r="G91" t="str">
        <f>IF(TblGabungan[[#This Row],[Kode Barang]]="","",VLOOKUP(TblGabungan[[#This Row],[Kode Barang]],Table_Barang[#All],2,0))</f>
        <v>Clip Folder</v>
      </c>
      <c r="H91" t="str">
        <f>VLOOKUP(TblGabungan[[#This Row],[Kode Barang]],Table_Barang[#All],4,0)</f>
        <v>Set</v>
      </c>
      <c r="I91" s="9">
        <f>IF(TblGabungan[[#This Row],[Kode Barang]]="","",VLOOKUP(TblGabungan[[#This Row],[Kode Barang]],Table_Barang[#All],5,0))</f>
        <v>193000</v>
      </c>
      <c r="J91">
        <f>IF(TblGabungan[[#This Row],[Kode Barang]]="","",VLOOKUP(TblGabungan[[#This Row],[Kode Barang]],TblStokAkhir[#All],3,0))</f>
        <v>67</v>
      </c>
      <c r="K91">
        <f>IF(TblGabungan[[#This Row],[Kode Barang]]="","",VLOOKUP(TblGabungan[[#This Row],[Kode Barang]],TblStokAkhir[#All],4,0))</f>
        <v>0</v>
      </c>
      <c r="L91">
        <f>IF(TblGabungan[[#This Row],[Kode Barang]]="","",VLOOKUP(TblGabungan[[#This Row],[Kode Barang]],TblStokAkhir[#All],5,0))</f>
        <v>71</v>
      </c>
      <c r="M91">
        <f>IF(TblGabungan[[#This Row],[Kode Barang]]="","",VLOOKUP(TblGabungan[[#This Row],[Kode Barang]],TblStokAkhir[#All],5,0))</f>
        <v>71</v>
      </c>
      <c r="N91">
        <f>IF(TblGabungan[[#This Row],[Kode Barang]]="","",VLOOKUP(TblGabungan[[#This Row],[Kode Barang]],TblStokAkhir[#All],7,0))</f>
        <v>20</v>
      </c>
      <c r="O91" t="str">
        <f>IF(TblGabungan[[#This Row],[Kode Barang]]="","",VLOOKUP(TblGabungan[[#This Row],[Kode Barang]],TblStokAkhir[#All],8,0))</f>
        <v>Aman</v>
      </c>
    </row>
    <row r="92" spans="6:15" x14ac:dyDescent="0.3">
      <c r="F92" t="str">
        <f>Table_Barang[[#This Row],[Kode Barang]]</f>
        <v>PER081</v>
      </c>
      <c r="G92" t="str">
        <f>IF(TblGabungan[[#This Row],[Kode Barang]]="","",VLOOKUP(TblGabungan[[#This Row],[Kode Barang]],Table_Barang[#All],2,0))</f>
        <v>Lemari Besi</v>
      </c>
      <c r="H92" t="str">
        <f>VLOOKUP(TblGabungan[[#This Row],[Kode Barang]],Table_Barang[#All],4,0)</f>
        <v>Set</v>
      </c>
      <c r="I92" s="9">
        <f>IF(TblGabungan[[#This Row],[Kode Barang]]="","",VLOOKUP(TblGabungan[[#This Row],[Kode Barang]],Table_Barang[#All],5,0))</f>
        <v>124100</v>
      </c>
      <c r="J92">
        <f>IF(TblGabungan[[#This Row],[Kode Barang]]="","",VLOOKUP(TblGabungan[[#This Row],[Kode Barang]],TblStokAkhir[#All],3,0))</f>
        <v>0</v>
      </c>
      <c r="K92">
        <f>IF(TblGabungan[[#This Row],[Kode Barang]]="","",VLOOKUP(TblGabungan[[#This Row],[Kode Barang]],TblStokAkhir[#All],4,0))</f>
        <v>0</v>
      </c>
      <c r="L92">
        <f>IF(TblGabungan[[#This Row],[Kode Barang]]="","",VLOOKUP(TblGabungan[[#This Row],[Kode Barang]],TblStokAkhir[#All],5,0))</f>
        <v>183</v>
      </c>
      <c r="M92">
        <f>IF(TblGabungan[[#This Row],[Kode Barang]]="","",VLOOKUP(TblGabungan[[#This Row],[Kode Barang]],TblStokAkhir[#All],5,0))</f>
        <v>183</v>
      </c>
      <c r="N92">
        <f>IF(TblGabungan[[#This Row],[Kode Barang]]="","",VLOOKUP(TblGabungan[[#This Row],[Kode Barang]],TblStokAkhir[#All],7,0))</f>
        <v>20</v>
      </c>
      <c r="O92" t="str">
        <f>IF(TblGabungan[[#This Row],[Kode Barang]]="","",VLOOKUP(TblGabungan[[#This Row],[Kode Barang]],TblStokAkhir[#All],8,0))</f>
        <v>Aman</v>
      </c>
    </row>
    <row r="93" spans="6:15" x14ac:dyDescent="0.3">
      <c r="F93" t="str">
        <f>Table_Barang[[#This Row],[Kode Barang]]</f>
        <v>KEB082</v>
      </c>
      <c r="G93" t="str">
        <f>IF(TblGabungan[[#This Row],[Kode Barang]]="","",VLOOKUP(TblGabungan[[#This Row],[Kode Barang]],Table_Barang[#All],2,0))</f>
        <v>Kain Lap</v>
      </c>
      <c r="H93" t="str">
        <f>VLOOKUP(TblGabungan[[#This Row],[Kode Barang]],Table_Barang[#All],4,0)</f>
        <v>Liter</v>
      </c>
      <c r="I93" s="9">
        <f>IF(TblGabungan[[#This Row],[Kode Barang]]="","",VLOOKUP(TblGabungan[[#This Row],[Kode Barang]],Table_Barang[#All],5,0))</f>
        <v>178000</v>
      </c>
      <c r="J93">
        <f>IF(TblGabungan[[#This Row],[Kode Barang]]="","",VLOOKUP(TblGabungan[[#This Row],[Kode Barang]],TblStokAkhir[#All],3,0))</f>
        <v>57</v>
      </c>
      <c r="K93">
        <f>IF(TblGabungan[[#This Row],[Kode Barang]]="","",VLOOKUP(TblGabungan[[#This Row],[Kode Barang]],TblStokAkhir[#All],4,0))</f>
        <v>0</v>
      </c>
      <c r="L93">
        <f>IF(TblGabungan[[#This Row],[Kode Barang]]="","",VLOOKUP(TblGabungan[[#This Row],[Kode Barang]],TblStokAkhir[#All],5,0))</f>
        <v>146</v>
      </c>
      <c r="M93">
        <f>IF(TblGabungan[[#This Row],[Kode Barang]]="","",VLOOKUP(TblGabungan[[#This Row],[Kode Barang]],TblStokAkhir[#All],5,0))</f>
        <v>146</v>
      </c>
      <c r="N93">
        <f>IF(TblGabungan[[#This Row],[Kode Barang]]="","",VLOOKUP(TblGabungan[[#This Row],[Kode Barang]],TblStokAkhir[#All],7,0))</f>
        <v>10</v>
      </c>
      <c r="O93" t="str">
        <f>IF(TblGabungan[[#This Row],[Kode Barang]]="","",VLOOKUP(TblGabungan[[#This Row],[Kode Barang]],TblStokAkhir[#All],8,0))</f>
        <v>Aman</v>
      </c>
    </row>
    <row r="94" spans="6:15" x14ac:dyDescent="0.3">
      <c r="F94" t="str">
        <f>Table_Barang[[#This Row],[Kode Barang]]</f>
        <v>PER083</v>
      </c>
      <c r="G94" t="str">
        <f>IF(TblGabungan[[#This Row],[Kode Barang]]="","",VLOOKUP(TblGabungan[[#This Row],[Kode Barang]],Table_Barang[#All],2,0))</f>
        <v>Kursi Rapat</v>
      </c>
      <c r="H94" t="str">
        <f>VLOOKUP(TblGabungan[[#This Row],[Kode Barang]],Table_Barang[#All],4,0)</f>
        <v>Unit</v>
      </c>
      <c r="I94" s="9">
        <f>IF(TblGabungan[[#This Row],[Kode Barang]]="","",VLOOKUP(TblGabungan[[#This Row],[Kode Barang]],Table_Barang[#All],5,0))</f>
        <v>179300</v>
      </c>
      <c r="J94">
        <f>IF(TblGabungan[[#This Row],[Kode Barang]]="","",VLOOKUP(TblGabungan[[#This Row],[Kode Barang]],TblStokAkhir[#All],3,0))</f>
        <v>0</v>
      </c>
      <c r="K94">
        <f>IF(TblGabungan[[#This Row],[Kode Barang]]="","",VLOOKUP(TblGabungan[[#This Row],[Kode Barang]],TblStokAkhir[#All],4,0))</f>
        <v>7</v>
      </c>
      <c r="L94">
        <f>IF(TblGabungan[[#This Row],[Kode Barang]]="","",VLOOKUP(TblGabungan[[#This Row],[Kode Barang]],TblStokAkhir[#All],5,0))</f>
        <v>190</v>
      </c>
      <c r="M94">
        <f>IF(TblGabungan[[#This Row],[Kode Barang]]="","",VLOOKUP(TblGabungan[[#This Row],[Kode Barang]],TblStokAkhir[#All],5,0))</f>
        <v>190</v>
      </c>
      <c r="N94">
        <f>IF(TblGabungan[[#This Row],[Kode Barang]]="","",VLOOKUP(TblGabungan[[#This Row],[Kode Barang]],TblStokAkhir[#All],7,0))</f>
        <v>10</v>
      </c>
      <c r="O94" t="str">
        <f>IF(TblGabungan[[#This Row],[Kode Barang]]="","",VLOOKUP(TblGabungan[[#This Row],[Kode Barang]],TblStokAkhir[#All],8,0))</f>
        <v>Aman</v>
      </c>
    </row>
    <row r="95" spans="6:15" x14ac:dyDescent="0.3">
      <c r="F95" t="str">
        <f>Table_Barang[[#This Row],[Kode Barang]]</f>
        <v>ATK084</v>
      </c>
      <c r="G95" t="str">
        <f>IF(TblGabungan[[#This Row],[Kode Barang]]="","",VLOOKUP(TblGabungan[[#This Row],[Kode Barang]],Table_Barang[#All],2,0))</f>
        <v>Pulpen Hitam</v>
      </c>
      <c r="H95" t="str">
        <f>VLOOKUP(TblGabungan[[#This Row],[Kode Barang]],Table_Barang[#All],4,0)</f>
        <v>Pack</v>
      </c>
      <c r="I95" s="9">
        <f>IF(TblGabungan[[#This Row],[Kode Barang]]="","",VLOOKUP(TblGabungan[[#This Row],[Kode Barang]],Table_Barang[#All],5,0))</f>
        <v>34400</v>
      </c>
      <c r="J95">
        <f>IF(TblGabungan[[#This Row],[Kode Barang]]="","",VLOOKUP(TblGabungan[[#This Row],[Kode Barang]],TblStokAkhir[#All],3,0))</f>
        <v>0</v>
      </c>
      <c r="K95">
        <f>IF(TblGabungan[[#This Row],[Kode Barang]]="","",VLOOKUP(TblGabungan[[#This Row],[Kode Barang]],TblStokAkhir[#All],4,0))</f>
        <v>40</v>
      </c>
      <c r="L95">
        <f>IF(TblGabungan[[#This Row],[Kode Barang]]="","",VLOOKUP(TblGabungan[[#This Row],[Kode Barang]],TblStokAkhir[#All],5,0))</f>
        <v>273</v>
      </c>
      <c r="M95">
        <f>IF(TblGabungan[[#This Row],[Kode Barang]]="","",VLOOKUP(TblGabungan[[#This Row],[Kode Barang]],TblStokAkhir[#All],5,0))</f>
        <v>273</v>
      </c>
      <c r="N95">
        <f>IF(TblGabungan[[#This Row],[Kode Barang]]="","",VLOOKUP(TblGabungan[[#This Row],[Kode Barang]],TblStokAkhir[#All],7,0))</f>
        <v>20</v>
      </c>
      <c r="O95" t="str">
        <f>IF(TblGabungan[[#This Row],[Kode Barang]]="","",VLOOKUP(TblGabungan[[#This Row],[Kode Barang]],TblStokAkhir[#All],8,0))</f>
        <v>Aman</v>
      </c>
    </row>
    <row r="96" spans="6:15" x14ac:dyDescent="0.3">
      <c r="F96" t="str">
        <f>Table_Barang[[#This Row],[Kode Barang]]</f>
        <v>ELE085</v>
      </c>
      <c r="G96" t="str">
        <f>IF(TblGabungan[[#This Row],[Kode Barang]]="","",VLOOKUP(TblGabungan[[#This Row],[Kode Barang]],Table_Barang[#All],2,0))</f>
        <v>Kabel LAN</v>
      </c>
      <c r="H96" t="str">
        <f>VLOOKUP(TblGabungan[[#This Row],[Kode Barang]],Table_Barang[#All],4,0)</f>
        <v>Unit</v>
      </c>
      <c r="I96" s="9">
        <f>IF(TblGabungan[[#This Row],[Kode Barang]]="","",VLOOKUP(TblGabungan[[#This Row],[Kode Barang]],Table_Barang[#All],5,0))</f>
        <v>126200</v>
      </c>
      <c r="J96">
        <f>IF(TblGabungan[[#This Row],[Kode Barang]]="","",VLOOKUP(TblGabungan[[#This Row],[Kode Barang]],TblStokAkhir[#All],3,0))</f>
        <v>0</v>
      </c>
      <c r="K96">
        <f>IF(TblGabungan[[#This Row],[Kode Barang]]="","",VLOOKUP(TblGabungan[[#This Row],[Kode Barang]],TblStokAkhir[#All],4,0))</f>
        <v>0</v>
      </c>
      <c r="L96">
        <f>IF(TblGabungan[[#This Row],[Kode Barang]]="","",VLOOKUP(TblGabungan[[#This Row],[Kode Barang]],TblStokAkhir[#All],5,0))</f>
        <v>176</v>
      </c>
      <c r="M96">
        <f>IF(TblGabungan[[#This Row],[Kode Barang]]="","",VLOOKUP(TblGabungan[[#This Row],[Kode Barang]],TblStokAkhir[#All],5,0))</f>
        <v>176</v>
      </c>
      <c r="N96">
        <f>IF(TblGabungan[[#This Row],[Kode Barang]]="","",VLOOKUP(TblGabungan[[#This Row],[Kode Barang]],TblStokAkhir[#All],7,0))</f>
        <v>20</v>
      </c>
      <c r="O96" t="str">
        <f>IF(TblGabungan[[#This Row],[Kode Barang]]="","",VLOOKUP(TblGabungan[[#This Row],[Kode Barang]],TblStokAkhir[#All],8,0))</f>
        <v>Aman</v>
      </c>
    </row>
    <row r="97" spans="6:15" x14ac:dyDescent="0.3">
      <c r="F97" t="str">
        <f>Table_Barang[[#This Row],[Kode Barang]]</f>
        <v>ATK086</v>
      </c>
      <c r="G97" t="str">
        <f>IF(TblGabungan[[#This Row],[Kode Barang]]="","",VLOOKUP(TblGabungan[[#This Row],[Kode Barang]],Table_Barang[#All],2,0))</f>
        <v>Spidol</v>
      </c>
      <c r="H97" t="str">
        <f>VLOOKUP(TblGabungan[[#This Row],[Kode Barang]],Table_Barang[#All],4,0)</f>
        <v>Pack</v>
      </c>
      <c r="I97" s="9">
        <f>IF(TblGabungan[[#This Row],[Kode Barang]]="","",VLOOKUP(TblGabungan[[#This Row],[Kode Barang]],Table_Barang[#All],5,0))</f>
        <v>9300</v>
      </c>
      <c r="J97">
        <f>IF(TblGabungan[[#This Row],[Kode Barang]]="","",VLOOKUP(TblGabungan[[#This Row],[Kode Barang]],TblStokAkhir[#All],3,0))</f>
        <v>0</v>
      </c>
      <c r="K97">
        <f>IF(TblGabungan[[#This Row],[Kode Barang]]="","",VLOOKUP(TblGabungan[[#This Row],[Kode Barang]],TblStokAkhir[#All],4,0))</f>
        <v>0</v>
      </c>
      <c r="L97">
        <f>IF(TblGabungan[[#This Row],[Kode Barang]]="","",VLOOKUP(TblGabungan[[#This Row],[Kode Barang]],TblStokAkhir[#All],5,0))</f>
        <v>41</v>
      </c>
      <c r="M97">
        <f>IF(TblGabungan[[#This Row],[Kode Barang]]="","",VLOOKUP(TblGabungan[[#This Row],[Kode Barang]],TblStokAkhir[#All],5,0))</f>
        <v>41</v>
      </c>
      <c r="N97">
        <f>IF(TblGabungan[[#This Row],[Kode Barang]]="","",VLOOKUP(TblGabungan[[#This Row],[Kode Barang]],TblStokAkhir[#All],7,0))</f>
        <v>20</v>
      </c>
      <c r="O97" t="str">
        <f>IF(TblGabungan[[#This Row],[Kode Barang]]="","",VLOOKUP(TblGabungan[[#This Row],[Kode Barang]],TblStokAkhir[#All],8,0))</f>
        <v>Aman</v>
      </c>
    </row>
    <row r="98" spans="6:15" x14ac:dyDescent="0.3">
      <c r="F98" t="str">
        <f>Table_Barang[[#This Row],[Kode Barang]]</f>
        <v>ELE087</v>
      </c>
      <c r="G98" t="str">
        <f>IF(TblGabungan[[#This Row],[Kode Barang]]="","",VLOOKUP(TblGabungan[[#This Row],[Kode Barang]],Table_Barang[#All],2,0))</f>
        <v>Charger HP</v>
      </c>
      <c r="H98" t="str">
        <f>VLOOKUP(TblGabungan[[#This Row],[Kode Barang]],Table_Barang[#All],4,0)</f>
        <v>Unit</v>
      </c>
      <c r="I98" s="9">
        <f>IF(TblGabungan[[#This Row],[Kode Barang]]="","",VLOOKUP(TblGabungan[[#This Row],[Kode Barang]],Table_Barang[#All],5,0))</f>
        <v>104200</v>
      </c>
      <c r="J98">
        <f>IF(TblGabungan[[#This Row],[Kode Barang]]="","",VLOOKUP(TblGabungan[[#This Row],[Kode Barang]],TblStokAkhir[#All],3,0))</f>
        <v>60</v>
      </c>
      <c r="K98">
        <f>IF(TblGabungan[[#This Row],[Kode Barang]]="","",VLOOKUP(TblGabungan[[#This Row],[Kode Barang]],TblStokAkhir[#All],4,0))</f>
        <v>0</v>
      </c>
      <c r="L98">
        <f>IF(TblGabungan[[#This Row],[Kode Barang]]="","",VLOOKUP(TblGabungan[[#This Row],[Kode Barang]],TblStokAkhir[#All],5,0))</f>
        <v>22</v>
      </c>
      <c r="M98">
        <f>IF(TblGabungan[[#This Row],[Kode Barang]]="","",VLOOKUP(TblGabungan[[#This Row],[Kode Barang]],TblStokAkhir[#All],5,0))</f>
        <v>22</v>
      </c>
      <c r="N98">
        <f>IF(TblGabungan[[#This Row],[Kode Barang]]="","",VLOOKUP(TblGabungan[[#This Row],[Kode Barang]],TblStokAkhir[#All],7,0))</f>
        <v>30</v>
      </c>
      <c r="O98" t="str">
        <f>IF(TblGabungan[[#This Row],[Kode Barang]]="","",VLOOKUP(TblGabungan[[#This Row],[Kode Barang]],TblStokAkhir[#All],8,0))</f>
        <v>Aman</v>
      </c>
    </row>
    <row r="99" spans="6:15" x14ac:dyDescent="0.3">
      <c r="F99" t="str">
        <f>Table_Barang[[#This Row],[Kode Barang]]</f>
        <v>ELE088</v>
      </c>
      <c r="G99" t="str">
        <f>IF(TblGabungan[[#This Row],[Kode Barang]]="","",VLOOKUP(TblGabungan[[#This Row],[Kode Barang]],Table_Barang[#All],2,0))</f>
        <v>Headset</v>
      </c>
      <c r="H99" t="str">
        <f>VLOOKUP(TblGabungan[[#This Row],[Kode Barang]],Table_Barang[#All],4,0)</f>
        <v>Unit</v>
      </c>
      <c r="I99" s="9">
        <f>IF(TblGabungan[[#This Row],[Kode Barang]]="","",VLOOKUP(TblGabungan[[#This Row],[Kode Barang]],Table_Barang[#All],5,0))</f>
        <v>71300</v>
      </c>
      <c r="J99">
        <f>IF(TblGabungan[[#This Row],[Kode Barang]]="","",VLOOKUP(TblGabungan[[#This Row],[Kode Barang]],TblStokAkhir[#All],3,0))</f>
        <v>0</v>
      </c>
      <c r="K99">
        <f>IF(TblGabungan[[#This Row],[Kode Barang]]="","",VLOOKUP(TblGabungan[[#This Row],[Kode Barang]],TblStokAkhir[#All],4,0))</f>
        <v>0</v>
      </c>
      <c r="L99">
        <f>IF(TblGabungan[[#This Row],[Kode Barang]]="","",VLOOKUP(TblGabungan[[#This Row],[Kode Barang]],TblStokAkhir[#All],5,0))</f>
        <v>117</v>
      </c>
      <c r="M99">
        <f>IF(TblGabungan[[#This Row],[Kode Barang]]="","",VLOOKUP(TblGabungan[[#This Row],[Kode Barang]],TblStokAkhir[#All],5,0))</f>
        <v>117</v>
      </c>
      <c r="N99">
        <f>IF(TblGabungan[[#This Row],[Kode Barang]]="","",VLOOKUP(TblGabungan[[#This Row],[Kode Barang]],TblStokAkhir[#All],7,0))</f>
        <v>20</v>
      </c>
      <c r="O99" t="str">
        <f>IF(TblGabungan[[#This Row],[Kode Barang]]="","",VLOOKUP(TblGabungan[[#This Row],[Kode Barang]],TblStokAkhir[#All],8,0))</f>
        <v>Aman</v>
      </c>
    </row>
    <row r="100" spans="6:15" x14ac:dyDescent="0.3">
      <c r="F100" t="str">
        <f>Table_Barang[[#This Row],[Kode Barang]]</f>
        <v>ARS089</v>
      </c>
      <c r="G100" t="str">
        <f>IF(TblGabungan[[#This Row],[Kode Barang]]="","",VLOOKUP(TblGabungan[[#This Row],[Kode Barang]],Table_Barang[#All],2,0))</f>
        <v>Kertas Arsip</v>
      </c>
      <c r="H100" t="str">
        <f>VLOOKUP(TblGabungan[[#This Row],[Kode Barang]],Table_Barang[#All],4,0)</f>
        <v>Set</v>
      </c>
      <c r="I100" s="9">
        <f>IF(TblGabungan[[#This Row],[Kode Barang]]="","",VLOOKUP(TblGabungan[[#This Row],[Kode Barang]],Table_Barang[#All],5,0))</f>
        <v>196000</v>
      </c>
      <c r="J100">
        <f>IF(TblGabungan[[#This Row],[Kode Barang]]="","",VLOOKUP(TblGabungan[[#This Row],[Kode Barang]],TblStokAkhir[#All],3,0))</f>
        <v>0</v>
      </c>
      <c r="K100">
        <f>IF(TblGabungan[[#This Row],[Kode Barang]]="","",VLOOKUP(TblGabungan[[#This Row],[Kode Barang]],TblStokAkhir[#All],4,0))</f>
        <v>15</v>
      </c>
      <c r="L100">
        <f>IF(TblGabungan[[#This Row],[Kode Barang]]="","",VLOOKUP(TblGabungan[[#This Row],[Kode Barang]],TblStokAkhir[#All],5,0))</f>
        <v>238</v>
      </c>
      <c r="M100">
        <f>IF(TblGabungan[[#This Row],[Kode Barang]]="","",VLOOKUP(TblGabungan[[#This Row],[Kode Barang]],TblStokAkhir[#All],5,0))</f>
        <v>238</v>
      </c>
      <c r="N100">
        <f>IF(TblGabungan[[#This Row],[Kode Barang]]="","",VLOOKUP(TblGabungan[[#This Row],[Kode Barang]],TblStokAkhir[#All],7,0))</f>
        <v>20</v>
      </c>
      <c r="O100" t="str">
        <f>IF(TblGabungan[[#This Row],[Kode Barang]]="","",VLOOKUP(TblGabungan[[#This Row],[Kode Barang]],TblStokAkhir[#All],8,0))</f>
        <v>Aman</v>
      </c>
    </row>
    <row r="101" spans="6:15" x14ac:dyDescent="0.3">
      <c r="F101" t="str">
        <f>Table_Barang[[#This Row],[Kode Barang]]</f>
        <v>LAI090</v>
      </c>
      <c r="G101" t="str">
        <f>IF(TblGabungan[[#This Row],[Kode Barang]]="","",VLOOKUP(TblGabungan[[#This Row],[Kode Barang]],Table_Barang[#All],2,0))</f>
        <v>Tali Rafiah</v>
      </c>
      <c r="H101" t="str">
        <f>VLOOKUP(TblGabungan[[#This Row],[Kode Barang]],Table_Barang[#All],4,0)</f>
        <v>Unit</v>
      </c>
      <c r="I101" s="9">
        <f>IF(TblGabungan[[#This Row],[Kode Barang]]="","",VLOOKUP(TblGabungan[[#This Row],[Kode Barang]],Table_Barang[#All],5,0))</f>
        <v>9800</v>
      </c>
      <c r="J101">
        <f>IF(TblGabungan[[#This Row],[Kode Barang]]="","",VLOOKUP(TblGabungan[[#This Row],[Kode Barang]],TblStokAkhir[#All],3,0))</f>
        <v>76</v>
      </c>
      <c r="K101">
        <f>IF(TblGabungan[[#This Row],[Kode Barang]]="","",VLOOKUP(TblGabungan[[#This Row],[Kode Barang]],TblStokAkhir[#All],4,0))</f>
        <v>0</v>
      </c>
      <c r="L101">
        <f>IF(TblGabungan[[#This Row],[Kode Barang]]="","",VLOOKUP(TblGabungan[[#This Row],[Kode Barang]],TblStokAkhir[#All],5,0))</f>
        <v>250</v>
      </c>
      <c r="M101">
        <f>IF(TblGabungan[[#This Row],[Kode Barang]]="","",VLOOKUP(TblGabungan[[#This Row],[Kode Barang]],TblStokAkhir[#All],5,0))</f>
        <v>250</v>
      </c>
      <c r="N101">
        <f>IF(TblGabungan[[#This Row],[Kode Barang]]="","",VLOOKUP(TblGabungan[[#This Row],[Kode Barang]],TblStokAkhir[#All],7,0))</f>
        <v>20</v>
      </c>
      <c r="O101" t="str">
        <f>IF(TblGabungan[[#This Row],[Kode Barang]]="","",VLOOKUP(TblGabungan[[#This Row],[Kode Barang]],TblStokAkhir[#All],8,0))</f>
        <v>Aman</v>
      </c>
    </row>
    <row r="102" spans="6:15" x14ac:dyDescent="0.3">
      <c r="F102" t="str">
        <f>Table_Barang[[#This Row],[Kode Barang]]</f>
        <v>ATK091</v>
      </c>
      <c r="G102" t="str">
        <f>IF(TblGabungan[[#This Row],[Kode Barang]]="","",VLOOKUP(TblGabungan[[#This Row],[Kode Barang]],Table_Barang[#All],2,0))</f>
        <v>Pensil HB</v>
      </c>
      <c r="H102" t="str">
        <f>VLOOKUP(TblGabungan[[#This Row],[Kode Barang]],Table_Barang[#All],4,0)</f>
        <v>Pcs</v>
      </c>
      <c r="I102" s="9">
        <f>IF(TblGabungan[[#This Row],[Kode Barang]]="","",VLOOKUP(TblGabungan[[#This Row],[Kode Barang]],Table_Barang[#All],5,0))</f>
        <v>140400</v>
      </c>
      <c r="J102">
        <f>IF(TblGabungan[[#This Row],[Kode Barang]]="","",VLOOKUP(TblGabungan[[#This Row],[Kode Barang]],TblStokAkhir[#All],3,0))</f>
        <v>0</v>
      </c>
      <c r="K102">
        <f>IF(TblGabungan[[#This Row],[Kode Barang]]="","",VLOOKUP(TblGabungan[[#This Row],[Kode Barang]],TblStokAkhir[#All],4,0))</f>
        <v>20</v>
      </c>
      <c r="L102">
        <f>IF(TblGabungan[[#This Row],[Kode Barang]]="","",VLOOKUP(TblGabungan[[#This Row],[Kode Barang]],TblStokAkhir[#All],5,0))</f>
        <v>173</v>
      </c>
      <c r="M102">
        <f>IF(TblGabungan[[#This Row],[Kode Barang]]="","",VLOOKUP(TblGabungan[[#This Row],[Kode Barang]],TblStokAkhir[#All],5,0))</f>
        <v>173</v>
      </c>
      <c r="N102">
        <f>IF(TblGabungan[[#This Row],[Kode Barang]]="","",VLOOKUP(TblGabungan[[#This Row],[Kode Barang]],TblStokAkhir[#All],7,0))</f>
        <v>10</v>
      </c>
      <c r="O102" t="str">
        <f>IF(TblGabungan[[#This Row],[Kode Barang]]="","",VLOOKUP(TblGabungan[[#This Row],[Kode Barang]],TblStokAkhir[#All],8,0))</f>
        <v>Aman</v>
      </c>
    </row>
    <row r="103" spans="6:15" x14ac:dyDescent="0.3">
      <c r="F103" t="str">
        <f>Table_Barang[[#This Row],[Kode Barang]]</f>
        <v>ATK092</v>
      </c>
      <c r="G103" t="str">
        <f>IF(TblGabungan[[#This Row],[Kode Barang]]="","",VLOOKUP(TblGabungan[[#This Row],[Kode Barang]],Table_Barang[#All],2,0))</f>
        <v>Spidol</v>
      </c>
      <c r="H103" t="str">
        <f>VLOOKUP(TblGabungan[[#This Row],[Kode Barang]],Table_Barang[#All],4,0)</f>
        <v>Box</v>
      </c>
      <c r="I103" s="9">
        <f>IF(TblGabungan[[#This Row],[Kode Barang]]="","",VLOOKUP(TblGabungan[[#This Row],[Kode Barang]],Table_Barang[#All],5,0))</f>
        <v>196300</v>
      </c>
      <c r="J103">
        <f>IF(TblGabungan[[#This Row],[Kode Barang]]="","",VLOOKUP(TblGabungan[[#This Row],[Kode Barang]],TblStokAkhir[#All],3,0))</f>
        <v>100</v>
      </c>
      <c r="K103">
        <f>IF(TblGabungan[[#This Row],[Kode Barang]]="","",VLOOKUP(TblGabungan[[#This Row],[Kode Barang]],TblStokAkhir[#All],4,0))</f>
        <v>0</v>
      </c>
      <c r="L103">
        <f>IF(TblGabungan[[#This Row],[Kode Barang]]="","",VLOOKUP(TblGabungan[[#This Row],[Kode Barang]],TblStokAkhir[#All],5,0))</f>
        <v>286</v>
      </c>
      <c r="M103">
        <f>IF(TblGabungan[[#This Row],[Kode Barang]]="","",VLOOKUP(TblGabungan[[#This Row],[Kode Barang]],TblStokAkhir[#All],5,0))</f>
        <v>286</v>
      </c>
      <c r="N103">
        <f>IF(TblGabungan[[#This Row],[Kode Barang]]="","",VLOOKUP(TblGabungan[[#This Row],[Kode Barang]],TblStokAkhir[#All],7,0))</f>
        <v>10</v>
      </c>
      <c r="O103" t="str">
        <f>IF(TblGabungan[[#This Row],[Kode Barang]]="","",VLOOKUP(TblGabungan[[#This Row],[Kode Barang]],TblStokAkhir[#All],8,0))</f>
        <v>Aman</v>
      </c>
    </row>
    <row r="104" spans="6:15" x14ac:dyDescent="0.3">
      <c r="F104" t="str">
        <f>Table_Barang[[#This Row],[Kode Barang]]</f>
        <v>KEB093</v>
      </c>
      <c r="G104" t="str">
        <f>IF(TblGabungan[[#This Row],[Kode Barang]]="","",VLOOKUP(TblGabungan[[#This Row],[Kode Barang]],Table_Barang[#All],2,0))</f>
        <v>Sabun Lantai</v>
      </c>
      <c r="H104" t="str">
        <f>VLOOKUP(TblGabungan[[#This Row],[Kode Barang]],Table_Barang[#All],4,0)</f>
        <v>Liter</v>
      </c>
      <c r="I104" s="9">
        <f>IF(TblGabungan[[#This Row],[Kode Barang]]="","",VLOOKUP(TblGabungan[[#This Row],[Kode Barang]],Table_Barang[#All],5,0))</f>
        <v>168300</v>
      </c>
      <c r="J104">
        <f>IF(TblGabungan[[#This Row],[Kode Barang]]="","",VLOOKUP(TblGabungan[[#This Row],[Kode Barang]],TblStokAkhir[#All],3,0))</f>
        <v>0</v>
      </c>
      <c r="K104">
        <f>IF(TblGabungan[[#This Row],[Kode Barang]]="","",VLOOKUP(TblGabungan[[#This Row],[Kode Barang]],TblStokAkhir[#All],4,0))</f>
        <v>0</v>
      </c>
      <c r="L104">
        <f>IF(TblGabungan[[#This Row],[Kode Barang]]="","",VLOOKUP(TblGabungan[[#This Row],[Kode Barang]],TblStokAkhir[#All],5,0))</f>
        <v>181</v>
      </c>
      <c r="M104">
        <f>IF(TblGabungan[[#This Row],[Kode Barang]]="","",VLOOKUP(TblGabungan[[#This Row],[Kode Barang]],TblStokAkhir[#All],5,0))</f>
        <v>181</v>
      </c>
      <c r="N104">
        <f>IF(TblGabungan[[#This Row],[Kode Barang]]="","",VLOOKUP(TblGabungan[[#This Row],[Kode Barang]],TblStokAkhir[#All],7,0))</f>
        <v>30</v>
      </c>
      <c r="O104" t="str">
        <f>IF(TblGabungan[[#This Row],[Kode Barang]]="","",VLOOKUP(TblGabungan[[#This Row],[Kode Barang]],TblStokAkhir[#All],8,0))</f>
        <v>Aman</v>
      </c>
    </row>
    <row r="105" spans="6:15" x14ac:dyDescent="0.3">
      <c r="F105" t="str">
        <f>Table_Barang[[#This Row],[Kode Barang]]</f>
        <v>ATK094</v>
      </c>
      <c r="G105" t="str">
        <f>IF(TblGabungan[[#This Row],[Kode Barang]]="","",VLOOKUP(TblGabungan[[#This Row],[Kode Barang]],Table_Barang[#All],2,0))</f>
        <v>Pulpen Hitam</v>
      </c>
      <c r="H105" t="str">
        <f>VLOOKUP(TblGabungan[[#This Row],[Kode Barang]],Table_Barang[#All],4,0)</f>
        <v>Box</v>
      </c>
      <c r="I105" s="9">
        <f>IF(TblGabungan[[#This Row],[Kode Barang]]="","",VLOOKUP(TblGabungan[[#This Row],[Kode Barang]],Table_Barang[#All],5,0))</f>
        <v>187200</v>
      </c>
      <c r="J105">
        <f>IF(TblGabungan[[#This Row],[Kode Barang]]="","",VLOOKUP(TblGabungan[[#This Row],[Kode Barang]],TblStokAkhir[#All],3,0))</f>
        <v>0</v>
      </c>
      <c r="K105">
        <f>IF(TblGabungan[[#This Row],[Kode Barang]]="","",VLOOKUP(TblGabungan[[#This Row],[Kode Barang]],TblStokAkhir[#All],4,0))</f>
        <v>0</v>
      </c>
      <c r="L105">
        <f>IF(TblGabungan[[#This Row],[Kode Barang]]="","",VLOOKUP(TblGabungan[[#This Row],[Kode Barang]],TblStokAkhir[#All],5,0))</f>
        <v>277</v>
      </c>
      <c r="M105">
        <f>IF(TblGabungan[[#This Row],[Kode Barang]]="","",VLOOKUP(TblGabungan[[#This Row],[Kode Barang]],TblStokAkhir[#All],5,0))</f>
        <v>277</v>
      </c>
      <c r="N105">
        <f>IF(TblGabungan[[#This Row],[Kode Barang]]="","",VLOOKUP(TblGabungan[[#This Row],[Kode Barang]],TblStokAkhir[#All],7,0))</f>
        <v>20</v>
      </c>
      <c r="O105" t="str">
        <f>IF(TblGabungan[[#This Row],[Kode Barang]]="","",VLOOKUP(TblGabungan[[#This Row],[Kode Barang]],TblStokAkhir[#All],8,0))</f>
        <v>Aman</v>
      </c>
    </row>
    <row r="106" spans="6:15" x14ac:dyDescent="0.3">
      <c r="F106" t="str">
        <f>Table_Barang[[#This Row],[Kode Barang]]</f>
        <v>PER095</v>
      </c>
      <c r="G106" t="str">
        <f>IF(TblGabungan[[#This Row],[Kode Barang]]="","",VLOOKUP(TblGabungan[[#This Row],[Kode Barang]],Table_Barang[#All],2,0))</f>
        <v>Kursi Kantor</v>
      </c>
      <c r="H106" t="str">
        <f>VLOOKUP(TblGabungan[[#This Row],[Kode Barang]],Table_Barang[#All],4,0)</f>
        <v>Set</v>
      </c>
      <c r="I106" s="9">
        <f>IF(TblGabungan[[#This Row],[Kode Barang]]="","",VLOOKUP(TblGabungan[[#This Row],[Kode Barang]],Table_Barang[#All],5,0))</f>
        <v>60000</v>
      </c>
      <c r="J106">
        <f>IF(TblGabungan[[#This Row],[Kode Barang]]="","",VLOOKUP(TblGabungan[[#This Row],[Kode Barang]],TblStokAkhir[#All],3,0))</f>
        <v>0</v>
      </c>
      <c r="K106">
        <f>IF(TblGabungan[[#This Row],[Kode Barang]]="","",VLOOKUP(TblGabungan[[#This Row],[Kode Barang]],TblStokAkhir[#All],4,0))</f>
        <v>150</v>
      </c>
      <c r="L106">
        <f>IF(TblGabungan[[#This Row],[Kode Barang]]="","",VLOOKUP(TblGabungan[[#This Row],[Kode Barang]],TblStokAkhir[#All],5,0))</f>
        <v>158</v>
      </c>
      <c r="M106">
        <f>IF(TblGabungan[[#This Row],[Kode Barang]]="","",VLOOKUP(TblGabungan[[#This Row],[Kode Barang]],TblStokAkhir[#All],5,0))</f>
        <v>158</v>
      </c>
      <c r="N106">
        <f>IF(TblGabungan[[#This Row],[Kode Barang]]="","",VLOOKUP(TblGabungan[[#This Row],[Kode Barang]],TblStokAkhir[#All],7,0))</f>
        <v>20</v>
      </c>
      <c r="O106" t="str">
        <f>IF(TblGabungan[[#This Row],[Kode Barang]]="","",VLOOKUP(TblGabungan[[#This Row],[Kode Barang]],TblStokAkhir[#All],8,0))</f>
        <v>Menipis</v>
      </c>
    </row>
    <row r="107" spans="6:15" x14ac:dyDescent="0.3">
      <c r="F107" t="str">
        <f>Table_Barang[[#This Row],[Kode Barang]]</f>
        <v>ATK096</v>
      </c>
      <c r="G107" t="str">
        <f>IF(TblGabungan[[#This Row],[Kode Barang]]="","",VLOOKUP(TblGabungan[[#This Row],[Kode Barang]],Table_Barang[#All],2,0))</f>
        <v>Buku Tulis</v>
      </c>
      <c r="H107" t="str">
        <f>VLOOKUP(TblGabungan[[#This Row],[Kode Barang]],Table_Barang[#All],4,0)</f>
        <v>Pack</v>
      </c>
      <c r="I107" s="9">
        <f>IF(TblGabungan[[#This Row],[Kode Barang]]="","",VLOOKUP(TblGabungan[[#This Row],[Kode Barang]],Table_Barang[#All],5,0))</f>
        <v>83100</v>
      </c>
      <c r="J107">
        <f>IF(TblGabungan[[#This Row],[Kode Barang]]="","",VLOOKUP(TblGabungan[[#This Row],[Kode Barang]],TblStokAkhir[#All],3,0))</f>
        <v>0</v>
      </c>
      <c r="K107">
        <f>IF(TblGabungan[[#This Row],[Kode Barang]]="","",VLOOKUP(TblGabungan[[#This Row],[Kode Barang]],TblStokAkhir[#All],4,0))</f>
        <v>0</v>
      </c>
      <c r="L107">
        <f>IF(TblGabungan[[#This Row],[Kode Barang]]="","",VLOOKUP(TblGabungan[[#This Row],[Kode Barang]],TblStokAkhir[#All],5,0))</f>
        <v>30</v>
      </c>
      <c r="M107">
        <f>IF(TblGabungan[[#This Row],[Kode Barang]]="","",VLOOKUP(TblGabungan[[#This Row],[Kode Barang]],TblStokAkhir[#All],5,0))</f>
        <v>30</v>
      </c>
      <c r="N107">
        <f>IF(TblGabungan[[#This Row],[Kode Barang]]="","",VLOOKUP(TblGabungan[[#This Row],[Kode Barang]],TblStokAkhir[#All],7,0))</f>
        <v>30</v>
      </c>
      <c r="O107" t="str">
        <f>IF(TblGabungan[[#This Row],[Kode Barang]]="","",VLOOKUP(TblGabungan[[#This Row],[Kode Barang]],TblStokAkhir[#All],8,0))</f>
        <v>Aman</v>
      </c>
    </row>
    <row r="108" spans="6:15" x14ac:dyDescent="0.3">
      <c r="F108" t="str">
        <f>Table_Barang[[#This Row],[Kode Barang]]</f>
        <v>KEB097</v>
      </c>
      <c r="G108" t="str">
        <f>IF(TblGabungan[[#This Row],[Kode Barang]]="","",VLOOKUP(TblGabungan[[#This Row],[Kode Barang]],Table_Barang[#All],2,0))</f>
        <v>Sabun Lantai</v>
      </c>
      <c r="H108" t="str">
        <f>VLOOKUP(TblGabungan[[#This Row],[Kode Barang]],Table_Barang[#All],4,0)</f>
        <v>Liter</v>
      </c>
      <c r="I108" s="9">
        <f>IF(TblGabungan[[#This Row],[Kode Barang]]="","",VLOOKUP(TblGabungan[[#This Row],[Kode Barang]],Table_Barang[#All],5,0))</f>
        <v>80800</v>
      </c>
      <c r="J108">
        <f>IF(TblGabungan[[#This Row],[Kode Barang]]="","",VLOOKUP(TblGabungan[[#This Row],[Kode Barang]],TblStokAkhir[#All],3,0))</f>
        <v>0</v>
      </c>
      <c r="K108">
        <f>IF(TblGabungan[[#This Row],[Kode Barang]]="","",VLOOKUP(TblGabungan[[#This Row],[Kode Barang]],TblStokAkhir[#All],4,0))</f>
        <v>13</v>
      </c>
      <c r="L108">
        <f>IF(TblGabungan[[#This Row],[Kode Barang]]="","",VLOOKUP(TblGabungan[[#This Row],[Kode Barang]],TblStokAkhir[#All],5,0))</f>
        <v>64</v>
      </c>
      <c r="M108">
        <f>IF(TblGabungan[[#This Row],[Kode Barang]]="","",VLOOKUP(TblGabungan[[#This Row],[Kode Barang]],TblStokAkhir[#All],5,0))</f>
        <v>64</v>
      </c>
      <c r="N108">
        <f>IF(TblGabungan[[#This Row],[Kode Barang]]="","",VLOOKUP(TblGabungan[[#This Row],[Kode Barang]],TblStokAkhir[#All],7,0))</f>
        <v>20</v>
      </c>
      <c r="O108" t="str">
        <f>IF(TblGabungan[[#This Row],[Kode Barang]]="","",VLOOKUP(TblGabungan[[#This Row],[Kode Barang]],TblStokAkhir[#All],8,0))</f>
        <v>Aman</v>
      </c>
    </row>
    <row r="109" spans="6:15" x14ac:dyDescent="0.3">
      <c r="F109" t="str">
        <f>Table_Barang[[#This Row],[Kode Barang]]</f>
        <v>PER098</v>
      </c>
      <c r="G109" t="str">
        <f>IF(TblGabungan[[#This Row],[Kode Barang]]="","",VLOOKUP(TblGabungan[[#This Row],[Kode Barang]],Table_Barang[#All],2,0))</f>
        <v>Papan Tulis</v>
      </c>
      <c r="H109" t="str">
        <f>VLOOKUP(TblGabungan[[#This Row],[Kode Barang]],Table_Barang[#All],4,0)</f>
        <v>Unit</v>
      </c>
      <c r="I109" s="9">
        <f>IF(TblGabungan[[#This Row],[Kode Barang]]="","",VLOOKUP(TblGabungan[[#This Row],[Kode Barang]],Table_Barang[#All],5,0))</f>
        <v>98100</v>
      </c>
      <c r="J109">
        <f>IF(TblGabungan[[#This Row],[Kode Barang]]="","",VLOOKUP(TblGabungan[[#This Row],[Kode Barang]],TblStokAkhir[#All],3,0))</f>
        <v>67</v>
      </c>
      <c r="K109">
        <f>IF(TblGabungan[[#This Row],[Kode Barang]]="","",VLOOKUP(TblGabungan[[#This Row],[Kode Barang]],TblStokAkhir[#All],4,0))</f>
        <v>0</v>
      </c>
      <c r="L109">
        <f>IF(TblGabungan[[#This Row],[Kode Barang]]="","",VLOOKUP(TblGabungan[[#This Row],[Kode Barang]],TblStokAkhir[#All],5,0))</f>
        <v>85</v>
      </c>
      <c r="M109">
        <f>IF(TblGabungan[[#This Row],[Kode Barang]]="","",VLOOKUP(TblGabungan[[#This Row],[Kode Barang]],TblStokAkhir[#All],5,0))</f>
        <v>85</v>
      </c>
      <c r="N109">
        <f>IF(TblGabungan[[#This Row],[Kode Barang]]="","",VLOOKUP(TblGabungan[[#This Row],[Kode Barang]],TblStokAkhir[#All],7,0))</f>
        <v>20</v>
      </c>
      <c r="O109" t="str">
        <f>IF(TblGabungan[[#This Row],[Kode Barang]]="","",VLOOKUP(TblGabungan[[#This Row],[Kode Barang]],TblStokAkhir[#All],8,0))</f>
        <v>Aman</v>
      </c>
    </row>
    <row r="110" spans="6:15" x14ac:dyDescent="0.3">
      <c r="F110" t="str">
        <f>Table_Barang[[#This Row],[Kode Barang]]</f>
        <v>PER099</v>
      </c>
      <c r="G110" t="str">
        <f>IF(TblGabungan[[#This Row],[Kode Barang]]="","",VLOOKUP(TblGabungan[[#This Row],[Kode Barang]],Table_Barang[#All],2,0))</f>
        <v>Kursi Kantor</v>
      </c>
      <c r="H110" t="str">
        <f>VLOOKUP(TblGabungan[[#This Row],[Kode Barang]],Table_Barang[#All],4,0)</f>
        <v>Unit</v>
      </c>
      <c r="I110" s="9">
        <f>IF(TblGabungan[[#This Row],[Kode Barang]]="","",VLOOKUP(TblGabungan[[#This Row],[Kode Barang]],Table_Barang[#All],5,0))</f>
        <v>180700</v>
      </c>
      <c r="J110">
        <f>IF(TblGabungan[[#This Row],[Kode Barang]]="","",VLOOKUP(TblGabungan[[#This Row],[Kode Barang]],TblStokAkhir[#All],3,0))</f>
        <v>0</v>
      </c>
      <c r="K110">
        <f>IF(TblGabungan[[#This Row],[Kode Barang]]="","",VLOOKUP(TblGabungan[[#This Row],[Kode Barang]],TblStokAkhir[#All],4,0))</f>
        <v>0</v>
      </c>
      <c r="L110">
        <f>IF(TblGabungan[[#This Row],[Kode Barang]]="","",VLOOKUP(TblGabungan[[#This Row],[Kode Barang]],TblStokAkhir[#All],5,0))</f>
        <v>142</v>
      </c>
      <c r="M110">
        <f>IF(TblGabungan[[#This Row],[Kode Barang]]="","",VLOOKUP(TblGabungan[[#This Row],[Kode Barang]],TblStokAkhir[#All],5,0))</f>
        <v>142</v>
      </c>
      <c r="N110">
        <f>IF(TblGabungan[[#This Row],[Kode Barang]]="","",VLOOKUP(TblGabungan[[#This Row],[Kode Barang]],TblStokAkhir[#All],7,0))</f>
        <v>30</v>
      </c>
      <c r="O110" t="str">
        <f>IF(TblGabungan[[#This Row],[Kode Barang]]="","",VLOOKUP(TblGabungan[[#This Row],[Kode Barang]],TblStokAkhir[#All],8,0))</f>
        <v>Aman</v>
      </c>
    </row>
    <row r="111" spans="6:15" x14ac:dyDescent="0.3">
      <c r="F111" t="str">
        <f>Table_Barang[[#This Row],[Kode Barang]]</f>
        <v>ARS100</v>
      </c>
      <c r="G111" t="str">
        <f>IF(TblGabungan[[#This Row],[Kode Barang]]="","",VLOOKUP(TblGabungan[[#This Row],[Kode Barang]],Table_Barang[#All],2,0))</f>
        <v>File Dividers</v>
      </c>
      <c r="H111" t="str">
        <f>VLOOKUP(TblGabungan[[#This Row],[Kode Barang]],Table_Barang[#All],4,0)</f>
        <v>Box</v>
      </c>
      <c r="I111" s="9">
        <f>IF(TblGabungan[[#This Row],[Kode Barang]]="","",VLOOKUP(TblGabungan[[#This Row],[Kode Barang]],Table_Barang[#All],5,0))</f>
        <v>174200</v>
      </c>
      <c r="J111">
        <f>IF(TblGabungan[[#This Row],[Kode Barang]]="","",VLOOKUP(TblGabungan[[#This Row],[Kode Barang]],TblStokAkhir[#All],3,0))</f>
        <v>0</v>
      </c>
      <c r="K111">
        <f>IF(TblGabungan[[#This Row],[Kode Barang]]="","",VLOOKUP(TblGabungan[[#This Row],[Kode Barang]],TblStokAkhir[#All],4,0))</f>
        <v>0</v>
      </c>
      <c r="L111">
        <f>IF(TblGabungan[[#This Row],[Kode Barang]]="","",VLOOKUP(TblGabungan[[#This Row],[Kode Barang]],TblStokAkhir[#All],5,0))</f>
        <v>162</v>
      </c>
      <c r="M111">
        <f>IF(TblGabungan[[#This Row],[Kode Barang]]="","",VLOOKUP(TblGabungan[[#This Row],[Kode Barang]],TblStokAkhir[#All],5,0))</f>
        <v>162</v>
      </c>
      <c r="N111">
        <f>IF(TblGabungan[[#This Row],[Kode Barang]]="","",VLOOKUP(TblGabungan[[#This Row],[Kode Barang]],TblStokAkhir[#All],7,0))</f>
        <v>30</v>
      </c>
      <c r="O111" t="str">
        <f>IF(TblGabungan[[#This Row],[Kode Barang]]="","",VLOOKUP(TblGabungan[[#This Row],[Kode Barang]],TblStokAkhir[#All],8,0))</f>
        <v>Aman</v>
      </c>
    </row>
    <row r="112" spans="6:15" x14ac:dyDescent="0.3">
      <c r="F112" t="str">
        <f>Table_Barang[[#This Row],[Kode Barang]]</f>
        <v>ATK097</v>
      </c>
      <c r="G112" t="str">
        <f>IF(TblGabungan[[#This Row],[Kode Barang]]="","",VLOOKUP(TblGabungan[[#This Row],[Kode Barang]],Table_Barang[#All],2,0))</f>
        <v>Pulpen Merah</v>
      </c>
      <c r="H112" t="str">
        <f>VLOOKUP(TblGabungan[[#This Row],[Kode Barang]],Table_Barang[#All],4,0)</f>
        <v>Pack</v>
      </c>
      <c r="I112" s="9">
        <f>IF(TblGabungan[[#This Row],[Kode Barang]]="","",VLOOKUP(TblGabungan[[#This Row],[Kode Barang]],Table_Barang[#All],5,0))</f>
        <v>179000</v>
      </c>
      <c r="J112">
        <f>IF(TblGabungan[[#This Row],[Kode Barang]]="","",VLOOKUP(TblGabungan[[#This Row],[Kode Barang]],TblStokAkhir[#All],3,0))</f>
        <v>26</v>
      </c>
      <c r="K112">
        <f>IF(TblGabungan[[#This Row],[Kode Barang]]="","",VLOOKUP(TblGabungan[[#This Row],[Kode Barang]],TblStokAkhir[#All],4,0))</f>
        <v>0</v>
      </c>
      <c r="L112">
        <f>IF(TblGabungan[[#This Row],[Kode Barang]]="","",VLOOKUP(TblGabungan[[#This Row],[Kode Barang]],TblStokAkhir[#All],5,0))</f>
        <v>0</v>
      </c>
      <c r="M112">
        <f>IF(TblGabungan[[#This Row],[Kode Barang]]="","",VLOOKUP(TblGabungan[[#This Row],[Kode Barang]],TblStokAkhir[#All],5,0))</f>
        <v>0</v>
      </c>
      <c r="N112">
        <f>IF(TblGabungan[[#This Row],[Kode Barang]]="","",VLOOKUP(TblGabungan[[#This Row],[Kode Barang]],TblStokAkhir[#All],7,0))</f>
        <v>20</v>
      </c>
      <c r="O112" t="str">
        <f>IF(TblGabungan[[#This Row],[Kode Barang]]="","",VLOOKUP(TblGabungan[[#This Row],[Kode Barang]],TblStokAkhir[#All],8,0))</f>
        <v>Aman</v>
      </c>
    </row>
    <row r="113" spans="6:15" x14ac:dyDescent="0.3">
      <c r="F113" t="str">
        <f>Table_Barang[[#This Row],[Kode Barang]]</f>
        <v>KEB098</v>
      </c>
      <c r="G113" t="str">
        <f>IF(TblGabungan[[#This Row],[Kode Barang]]="","",VLOOKUP(TblGabungan[[#This Row],[Kode Barang]],Table_Barang[#All],2,0))</f>
        <v>Spons Besi</v>
      </c>
      <c r="H113" t="str">
        <f>VLOOKUP(TblGabungan[[#This Row],[Kode Barang]],Table_Barang[#All],4,0)</f>
        <v>Pcs</v>
      </c>
      <c r="I113" s="9">
        <f>IF(TblGabungan[[#This Row],[Kode Barang]]="","",VLOOKUP(TblGabungan[[#This Row],[Kode Barang]],Table_Barang[#All],5,0))</f>
        <v>5000</v>
      </c>
      <c r="J113">
        <f>IF(TblGabungan[[#This Row],[Kode Barang]]="","",VLOOKUP(TblGabungan[[#This Row],[Kode Barang]],TblStokAkhir[#All],3,0))</f>
        <v>0</v>
      </c>
      <c r="K113">
        <f>IF(TblGabungan[[#This Row],[Kode Barang]]="","",VLOOKUP(TblGabungan[[#This Row],[Kode Barang]],TblStokAkhir[#All],4,0))</f>
        <v>280</v>
      </c>
      <c r="L113">
        <f>IF(TblGabungan[[#This Row],[Kode Barang]]="","",VLOOKUP(TblGabungan[[#This Row],[Kode Barang]],TblStokAkhir[#All],5,0))</f>
        <v>321</v>
      </c>
      <c r="M113">
        <f>IF(TblGabungan[[#This Row],[Kode Barang]]="","",VLOOKUP(TblGabungan[[#This Row],[Kode Barang]],TblStokAkhir[#All],5,0))</f>
        <v>321</v>
      </c>
      <c r="N113">
        <f>IF(TblGabungan[[#This Row],[Kode Barang]]="","",VLOOKUP(TblGabungan[[#This Row],[Kode Barang]],TblStokAkhir[#All],7,0))</f>
        <v>20</v>
      </c>
      <c r="O113" t="str">
        <f>IF(TblGabungan[[#This Row],[Kode Barang]]="","",VLOOKUP(TblGabungan[[#This Row],[Kode Barang]],TblStokAkhir[#All],8,0))</f>
        <v>Aman</v>
      </c>
    </row>
    <row r="114" spans="6:15" x14ac:dyDescent="0.3">
      <c r="F114" t="str">
        <f>Table_Barang[[#This Row],[Kode Barang]]</f>
        <v>ATK098</v>
      </c>
      <c r="G114" t="str">
        <f>IF(TblGabungan[[#This Row],[Kode Barang]]="","",VLOOKUP(TblGabungan[[#This Row],[Kode Barang]],Table_Barang[#All],2,0))</f>
        <v>Tas</v>
      </c>
      <c r="H114" t="str">
        <f>VLOOKUP(TblGabungan[[#This Row],[Kode Barang]],Table_Barang[#All],4,0)</f>
        <v>Pcs</v>
      </c>
      <c r="I114" s="9">
        <f>IF(TblGabungan[[#This Row],[Kode Barang]]="","",VLOOKUP(TblGabungan[[#This Row],[Kode Barang]],Table_Barang[#All],5,0))</f>
        <v>100000</v>
      </c>
      <c r="J114">
        <f>IF(TblGabungan[[#This Row],[Kode Barang]]="","",VLOOKUP(TblGabungan[[#This Row],[Kode Barang]],TblStokAkhir[#All],3,0))</f>
        <v>0</v>
      </c>
      <c r="K114">
        <f>IF(TblGabungan[[#This Row],[Kode Barang]]="","",VLOOKUP(TblGabungan[[#This Row],[Kode Barang]],TblStokAkhir[#All],4,0))</f>
        <v>0</v>
      </c>
      <c r="L114">
        <f>IF(TblGabungan[[#This Row],[Kode Barang]]="","",VLOOKUP(TblGabungan[[#This Row],[Kode Barang]],TblStokAkhir[#All],5,0))</f>
        <v>50</v>
      </c>
      <c r="M114">
        <f>IF(TblGabungan[[#This Row],[Kode Barang]]="","",VLOOKUP(TblGabungan[[#This Row],[Kode Barang]],TblStokAkhir[#All],5,0))</f>
        <v>50</v>
      </c>
      <c r="N114">
        <f>IF(TblGabungan[[#This Row],[Kode Barang]]="","",VLOOKUP(TblGabungan[[#This Row],[Kode Barang]],TblStokAkhir[#All],7,0))</f>
        <v>5</v>
      </c>
      <c r="O114" t="str">
        <f>IF(TblGabungan[[#This Row],[Kode Barang]]="","",VLOOKUP(TblGabungan[[#This Row],[Kode Barang]],TblStokAkhir[#All],8,0))</f>
        <v>Aman</v>
      </c>
    </row>
    <row r="115" spans="6:15" x14ac:dyDescent="0.3">
      <c r="F115" t="str">
        <f>Table_Barang[[#This Row],[Kode Barang]]</f>
        <v>KEB099</v>
      </c>
      <c r="G115" t="str">
        <f>IF(TblGabungan[[#This Row],[Kode Barang]]="","",VLOOKUP(TblGabungan[[#This Row],[Kode Barang]],Table_Barang[#All],2,0))</f>
        <v>Shampo Detol</v>
      </c>
      <c r="H115" t="str">
        <f>VLOOKUP(TblGabungan[[#This Row],[Kode Barang]],Table_Barang[#All],4,0)</f>
        <v>Pcs</v>
      </c>
      <c r="I115" s="9">
        <f>IF(TblGabungan[[#This Row],[Kode Barang]]="","",VLOOKUP(TblGabungan[[#This Row],[Kode Barang]],Table_Barang[#All],5,0))</f>
        <v>55000</v>
      </c>
      <c r="J115">
        <f>IF(TblGabungan[[#This Row],[Kode Barang]]="","",VLOOKUP(TblGabungan[[#This Row],[Kode Barang]],TblStokAkhir[#All],3,0))</f>
        <v>0</v>
      </c>
      <c r="K115">
        <f>IF(TblGabungan[[#This Row],[Kode Barang]]="","",VLOOKUP(TblGabungan[[#This Row],[Kode Barang]],TblStokAkhir[#All],4,0))</f>
        <v>0</v>
      </c>
      <c r="L115">
        <f>IF(TblGabungan[[#This Row],[Kode Barang]]="","",VLOOKUP(TblGabungan[[#This Row],[Kode Barang]],TblStokAkhir[#All],5,0))</f>
        <v>50</v>
      </c>
      <c r="M115">
        <f>IF(TblGabungan[[#This Row],[Kode Barang]]="","",VLOOKUP(TblGabungan[[#This Row],[Kode Barang]],TblStokAkhir[#All],5,0))</f>
        <v>50</v>
      </c>
      <c r="N115">
        <f>IF(TblGabungan[[#This Row],[Kode Barang]]="","",VLOOKUP(TblGabungan[[#This Row],[Kode Barang]],TblStokAkhir[#All],7,0))</f>
        <v>15</v>
      </c>
      <c r="O115" t="str">
        <f>IF(TblGabungan[[#This Row],[Kode Barang]]="","",VLOOKUP(TblGabungan[[#This Row],[Kode Barang]],TblStokAkhir[#All],8,0))</f>
        <v>Aman</v>
      </c>
    </row>
    <row r="116" spans="6:15" x14ac:dyDescent="0.3">
      <c r="F116" t="str">
        <f>Table_Barang[[#This Row],[Kode Barang]]</f>
        <v>ATK099</v>
      </c>
      <c r="G116" t="str">
        <f>IF(TblGabungan[[#This Row],[Kode Barang]]="","",VLOOKUP(TblGabungan[[#This Row],[Kode Barang]],Table_Barang[#All],2,0))</f>
        <v>Tinta Spidol Hitam</v>
      </c>
      <c r="H116" t="str">
        <f>VLOOKUP(TblGabungan[[#This Row],[Kode Barang]],Table_Barang[#All],4,0)</f>
        <v>Pack</v>
      </c>
      <c r="I116" s="9">
        <f>IF(TblGabungan[[#This Row],[Kode Barang]]="","",VLOOKUP(TblGabungan[[#This Row],[Kode Barang]],Table_Barang[#All],5,0))</f>
        <v>87000</v>
      </c>
      <c r="J116">
        <f>IF(TblGabungan[[#This Row],[Kode Barang]]="","",VLOOKUP(TblGabungan[[#This Row],[Kode Barang]],TblStokAkhir[#All],3,0))</f>
        <v>0</v>
      </c>
      <c r="K116">
        <f>IF(TblGabungan[[#This Row],[Kode Barang]]="","",VLOOKUP(TblGabungan[[#This Row],[Kode Barang]],TblStokAkhir[#All],4,0))</f>
        <v>0</v>
      </c>
      <c r="L116">
        <f>IF(TblGabungan[[#This Row],[Kode Barang]]="","",VLOOKUP(TblGabungan[[#This Row],[Kode Barang]],TblStokAkhir[#All],5,0))</f>
        <v>40</v>
      </c>
      <c r="M116">
        <f>IF(TblGabungan[[#This Row],[Kode Barang]]="","",VLOOKUP(TblGabungan[[#This Row],[Kode Barang]],TblStokAkhir[#All],5,0))</f>
        <v>40</v>
      </c>
      <c r="N116">
        <f>IF(TblGabungan[[#This Row],[Kode Barang]]="","",VLOOKUP(TblGabungan[[#This Row],[Kode Barang]],TblStokAkhir[#All],7,0))</f>
        <v>20</v>
      </c>
      <c r="O116" t="str">
        <f>IF(TblGabungan[[#This Row],[Kode Barang]]="","",VLOOKUP(TblGabungan[[#This Row],[Kode Barang]],TblStokAkhir[#All],8,0))</f>
        <v>Aman</v>
      </c>
    </row>
    <row r="117" spans="6:15" x14ac:dyDescent="0.3">
      <c r="F117" t="e">
        <f>Table_Barang[[#This Row],[Kode Barang]]</f>
        <v>#VALUE!</v>
      </c>
      <c r="G117" t="e">
        <f>IF(TblGabungan[[#This Row],[Kode Barang]]="","",VLOOKUP(TblGabungan[[#This Row],[Kode Barang]],Table_Barang[#All],2,0))</f>
        <v>#VALUE!</v>
      </c>
      <c r="H117" t="e">
        <f>VLOOKUP(TblGabungan[[#This Row],[Kode Barang]],Table_Barang[#All],4,0)</f>
        <v>#VALUE!</v>
      </c>
      <c r="I117" s="9" t="e">
        <f>IF(TblGabungan[[#This Row],[Kode Barang]]="","",VLOOKUP(TblGabungan[[#This Row],[Kode Barang]],Table_Barang[#All],5,0))</f>
        <v>#VALUE!</v>
      </c>
      <c r="J117" t="e">
        <f>IF(TblGabungan[[#This Row],[Kode Barang]]="","",VLOOKUP(TblGabungan[[#This Row],[Kode Barang]],TblStokAkhir[#All],3,0))</f>
        <v>#VALUE!</v>
      </c>
      <c r="K117" t="e">
        <f>IF(TblGabungan[[#This Row],[Kode Barang]]="","",VLOOKUP(TblGabungan[[#This Row],[Kode Barang]],TblStokAkhir[#All],4,0))</f>
        <v>#VALUE!</v>
      </c>
      <c r="L117" t="e">
        <f>IF(TblGabungan[[#This Row],[Kode Barang]]="","",VLOOKUP(TblGabungan[[#This Row],[Kode Barang]],TblStokAkhir[#All],5,0))</f>
        <v>#VALUE!</v>
      </c>
      <c r="M117" t="e">
        <f>IF(TblGabungan[[#This Row],[Kode Barang]]="","",VLOOKUP(TblGabungan[[#This Row],[Kode Barang]],TblStokAkhir[#All],5,0))</f>
        <v>#VALUE!</v>
      </c>
      <c r="N117" t="e">
        <f>IF(TblGabungan[[#This Row],[Kode Barang]]="","",VLOOKUP(TblGabungan[[#This Row],[Kode Barang]],TblStokAkhir[#All],7,0))</f>
        <v>#VALUE!</v>
      </c>
      <c r="O117" t="e">
        <f>IF(TblGabungan[[#This Row],[Kode Barang]]="","",VLOOKUP(TblGabungan[[#This Row],[Kode Barang]],TblStokAkhir[#All],8,0))</f>
        <v>#VALUE!</v>
      </c>
    </row>
    <row r="118" spans="6:15" x14ac:dyDescent="0.3">
      <c r="F118" t="e">
        <f>Table_Barang[[#This Row],[Kode Barang]]</f>
        <v>#VALUE!</v>
      </c>
      <c r="G118" t="e">
        <f>IF(TblGabungan[[#This Row],[Kode Barang]]="","",VLOOKUP(TblGabungan[[#This Row],[Kode Barang]],Table_Barang[#All],2,0))</f>
        <v>#VALUE!</v>
      </c>
      <c r="H118" t="e">
        <f>VLOOKUP(TblGabungan[[#This Row],[Kode Barang]],Table_Barang[#All],4,0)</f>
        <v>#VALUE!</v>
      </c>
      <c r="I118" s="9" t="e">
        <f>IF(TblGabungan[[#This Row],[Kode Barang]]="","",VLOOKUP(TblGabungan[[#This Row],[Kode Barang]],Table_Barang[#All],5,0))</f>
        <v>#VALUE!</v>
      </c>
      <c r="J118" t="e">
        <f>IF(TblGabungan[[#This Row],[Kode Barang]]="","",VLOOKUP(TblGabungan[[#This Row],[Kode Barang]],TblStokAkhir[#All],3,0))</f>
        <v>#VALUE!</v>
      </c>
      <c r="K118" t="e">
        <f>IF(TblGabungan[[#This Row],[Kode Barang]]="","",VLOOKUP(TblGabungan[[#This Row],[Kode Barang]],TblStokAkhir[#All],4,0))</f>
        <v>#VALUE!</v>
      </c>
      <c r="L118" t="e">
        <f>IF(TblGabungan[[#This Row],[Kode Barang]]="","",VLOOKUP(TblGabungan[[#This Row],[Kode Barang]],TblStokAkhir[#All],5,0))</f>
        <v>#VALUE!</v>
      </c>
      <c r="M118" t="e">
        <f>IF(TblGabungan[[#This Row],[Kode Barang]]="","",VLOOKUP(TblGabungan[[#This Row],[Kode Barang]],TblStokAkhir[#All],5,0))</f>
        <v>#VALUE!</v>
      </c>
      <c r="N118" t="e">
        <f>IF(TblGabungan[[#This Row],[Kode Barang]]="","",VLOOKUP(TblGabungan[[#This Row],[Kode Barang]],TblStokAkhir[#All],7,0))</f>
        <v>#VALUE!</v>
      </c>
      <c r="O118" t="e">
        <f>IF(TblGabungan[[#This Row],[Kode Barang]]="","",VLOOKUP(TblGabungan[[#This Row],[Kode Barang]],TblStokAkhir[#All],8,0))</f>
        <v>#VALUE!</v>
      </c>
    </row>
    <row r="119" spans="6:15" x14ac:dyDescent="0.3">
      <c r="F119" t="e">
        <f>Table_Barang[[#This Row],[Kode Barang]]</f>
        <v>#VALUE!</v>
      </c>
      <c r="G119" t="e">
        <f>IF(TblGabungan[[#This Row],[Kode Barang]]="","",VLOOKUP(TblGabungan[[#This Row],[Kode Barang]],Table_Barang[#All],2,0))</f>
        <v>#VALUE!</v>
      </c>
      <c r="H119" t="e">
        <f>VLOOKUP(TblGabungan[[#This Row],[Kode Barang]],Table_Barang[#All],4,0)</f>
        <v>#VALUE!</v>
      </c>
      <c r="I119" s="9" t="e">
        <f>IF(TblGabungan[[#This Row],[Kode Barang]]="","",VLOOKUP(TblGabungan[[#This Row],[Kode Barang]],Table_Barang[#All],5,0))</f>
        <v>#VALUE!</v>
      </c>
      <c r="J119" t="e">
        <f>IF(TblGabungan[[#This Row],[Kode Barang]]="","",VLOOKUP(TblGabungan[[#This Row],[Kode Barang]],TblStokAkhir[#All],3,0))</f>
        <v>#VALUE!</v>
      </c>
      <c r="K119" t="e">
        <f>IF(TblGabungan[[#This Row],[Kode Barang]]="","",VLOOKUP(TblGabungan[[#This Row],[Kode Barang]],TblStokAkhir[#All],4,0))</f>
        <v>#VALUE!</v>
      </c>
      <c r="L119" t="e">
        <f>IF(TblGabungan[[#This Row],[Kode Barang]]="","",VLOOKUP(TblGabungan[[#This Row],[Kode Barang]],TblStokAkhir[#All],5,0))</f>
        <v>#VALUE!</v>
      </c>
      <c r="M119" t="e">
        <f>IF(TblGabungan[[#This Row],[Kode Barang]]="","",VLOOKUP(TblGabungan[[#This Row],[Kode Barang]],TblStokAkhir[#All],5,0))</f>
        <v>#VALUE!</v>
      </c>
      <c r="N119" t="e">
        <f>IF(TblGabungan[[#This Row],[Kode Barang]]="","",VLOOKUP(TblGabungan[[#This Row],[Kode Barang]],TblStokAkhir[#All],7,0))</f>
        <v>#VALUE!</v>
      </c>
      <c r="O119" t="e">
        <f>IF(TblGabungan[[#This Row],[Kode Barang]]="","",VLOOKUP(TblGabungan[[#This Row],[Kode Barang]],TblStokAkhir[#All],8,0))</f>
        <v>#VALUE!</v>
      </c>
    </row>
    <row r="120" spans="6:15" x14ac:dyDescent="0.3">
      <c r="F120" t="e">
        <f>Table_Barang[[#This Row],[Kode Barang]]</f>
        <v>#VALUE!</v>
      </c>
      <c r="G120" t="e">
        <f>IF(TblGabungan[[#This Row],[Kode Barang]]="","",VLOOKUP(TblGabungan[[#This Row],[Kode Barang]],Table_Barang[#All],2,0))</f>
        <v>#VALUE!</v>
      </c>
      <c r="H120" t="e">
        <f>VLOOKUP(TblGabungan[[#This Row],[Kode Barang]],Table_Barang[#All],4,0)</f>
        <v>#VALUE!</v>
      </c>
      <c r="I120" s="9" t="e">
        <f>IF(TblGabungan[[#This Row],[Kode Barang]]="","",VLOOKUP(TblGabungan[[#This Row],[Kode Barang]],Table_Barang[#All],5,0))</f>
        <v>#VALUE!</v>
      </c>
      <c r="J120" t="e">
        <f>IF(TblGabungan[[#This Row],[Kode Barang]]="","",VLOOKUP(TblGabungan[[#This Row],[Kode Barang]],TblStokAkhir[#All],3,0))</f>
        <v>#VALUE!</v>
      </c>
      <c r="K120" t="e">
        <f>IF(TblGabungan[[#This Row],[Kode Barang]]="","",VLOOKUP(TblGabungan[[#This Row],[Kode Barang]],TblStokAkhir[#All],4,0))</f>
        <v>#VALUE!</v>
      </c>
      <c r="L120" t="e">
        <f>IF(TblGabungan[[#This Row],[Kode Barang]]="","",VLOOKUP(TblGabungan[[#This Row],[Kode Barang]],TblStokAkhir[#All],5,0))</f>
        <v>#VALUE!</v>
      </c>
      <c r="M120" t="e">
        <f>IF(TblGabungan[[#This Row],[Kode Barang]]="","",VLOOKUP(TblGabungan[[#This Row],[Kode Barang]],TblStokAkhir[#All],5,0))</f>
        <v>#VALUE!</v>
      </c>
      <c r="N120" t="e">
        <f>IF(TblGabungan[[#This Row],[Kode Barang]]="","",VLOOKUP(TblGabungan[[#This Row],[Kode Barang]],TblStokAkhir[#All],7,0))</f>
        <v>#VALUE!</v>
      </c>
      <c r="O120" t="e">
        <f>IF(TblGabungan[[#This Row],[Kode Barang]]="","",VLOOKUP(TblGabungan[[#This Row],[Kode Barang]],TblStokAkhir[#All],8,0))</f>
        <v>#VALUE!</v>
      </c>
    </row>
    <row r="121" spans="6:15" x14ac:dyDescent="0.3">
      <c r="F121" t="e">
        <f>Table_Barang[[#This Row],[Kode Barang]]</f>
        <v>#VALUE!</v>
      </c>
      <c r="G121" t="e">
        <f>IF(TblGabungan[[#This Row],[Kode Barang]]="","",VLOOKUP(TblGabungan[[#This Row],[Kode Barang]],Table_Barang[#All],2,0))</f>
        <v>#VALUE!</v>
      </c>
      <c r="H121" t="e">
        <f>VLOOKUP(TblGabungan[[#This Row],[Kode Barang]],Table_Barang[#All],4,0)</f>
        <v>#VALUE!</v>
      </c>
      <c r="I121" s="9" t="e">
        <f>IF(TblGabungan[[#This Row],[Kode Barang]]="","",VLOOKUP(TblGabungan[[#This Row],[Kode Barang]],Table_Barang[#All],5,0))</f>
        <v>#VALUE!</v>
      </c>
      <c r="J121" t="e">
        <f>IF(TblGabungan[[#This Row],[Kode Barang]]="","",VLOOKUP(TblGabungan[[#This Row],[Kode Barang]],TblStokAkhir[#All],3,0))</f>
        <v>#VALUE!</v>
      </c>
      <c r="K121" t="e">
        <f>IF(TblGabungan[[#This Row],[Kode Barang]]="","",VLOOKUP(TblGabungan[[#This Row],[Kode Barang]],TblStokAkhir[#All],4,0))</f>
        <v>#VALUE!</v>
      </c>
      <c r="L121" t="e">
        <f>IF(TblGabungan[[#This Row],[Kode Barang]]="","",VLOOKUP(TblGabungan[[#This Row],[Kode Barang]],TblStokAkhir[#All],5,0))</f>
        <v>#VALUE!</v>
      </c>
      <c r="M121" t="e">
        <f>IF(TblGabungan[[#This Row],[Kode Barang]]="","",VLOOKUP(TblGabungan[[#This Row],[Kode Barang]],TblStokAkhir[#All],5,0))</f>
        <v>#VALUE!</v>
      </c>
      <c r="N121" t="e">
        <f>IF(TblGabungan[[#This Row],[Kode Barang]]="","",VLOOKUP(TblGabungan[[#This Row],[Kode Barang]],TblStokAkhir[#All],7,0))</f>
        <v>#VALUE!</v>
      </c>
      <c r="O121" t="e">
        <f>IF(TblGabungan[[#This Row],[Kode Barang]]="","",VLOOKUP(TblGabungan[[#This Row],[Kode Barang]],TblStokAkhir[#All],8,0))</f>
        <v>#VALUE!</v>
      </c>
    </row>
    <row r="122" spans="6:15" x14ac:dyDescent="0.3">
      <c r="F122" t="e">
        <f>Table_Barang[[#This Row],[Kode Barang]]</f>
        <v>#VALUE!</v>
      </c>
      <c r="G122" t="e">
        <f>IF(TblGabungan[[#This Row],[Kode Barang]]="","",VLOOKUP(TblGabungan[[#This Row],[Kode Barang]],Table_Barang[#All],2,0))</f>
        <v>#VALUE!</v>
      </c>
      <c r="H122" t="e">
        <f>VLOOKUP(TblGabungan[[#This Row],[Kode Barang]],Table_Barang[#All],4,0)</f>
        <v>#VALUE!</v>
      </c>
      <c r="I122" s="9" t="e">
        <f>IF(TblGabungan[[#This Row],[Kode Barang]]="","",VLOOKUP(TblGabungan[[#This Row],[Kode Barang]],Table_Barang[#All],5,0))</f>
        <v>#VALUE!</v>
      </c>
      <c r="J122" t="e">
        <f>IF(TblGabungan[[#This Row],[Kode Barang]]="","",VLOOKUP(TblGabungan[[#This Row],[Kode Barang]],TblStokAkhir[#All],3,0))</f>
        <v>#VALUE!</v>
      </c>
      <c r="K122" t="e">
        <f>IF(TblGabungan[[#This Row],[Kode Barang]]="","",VLOOKUP(TblGabungan[[#This Row],[Kode Barang]],TblStokAkhir[#All],4,0))</f>
        <v>#VALUE!</v>
      </c>
      <c r="L122" t="e">
        <f>IF(TblGabungan[[#This Row],[Kode Barang]]="","",VLOOKUP(TblGabungan[[#This Row],[Kode Barang]],TblStokAkhir[#All],5,0))</f>
        <v>#VALUE!</v>
      </c>
      <c r="M122" t="e">
        <f>IF(TblGabungan[[#This Row],[Kode Barang]]="","",VLOOKUP(TblGabungan[[#This Row],[Kode Barang]],TblStokAkhir[#All],5,0))</f>
        <v>#VALUE!</v>
      </c>
      <c r="N122" t="e">
        <f>IF(TblGabungan[[#This Row],[Kode Barang]]="","",VLOOKUP(TblGabungan[[#This Row],[Kode Barang]],TblStokAkhir[#All],7,0))</f>
        <v>#VALUE!</v>
      </c>
      <c r="O122" t="e">
        <f>IF(TblGabungan[[#This Row],[Kode Barang]]="","",VLOOKUP(TblGabungan[[#This Row],[Kode Barang]],TblStokAkhir[#All],8,0))</f>
        <v>#VALUE!</v>
      </c>
    </row>
    <row r="123" spans="6:15" x14ac:dyDescent="0.3">
      <c r="F123" t="e">
        <f>Table_Barang[[#This Row],[Kode Barang]]</f>
        <v>#VALUE!</v>
      </c>
      <c r="G123" t="e">
        <f>IF(TblGabungan[[#This Row],[Kode Barang]]="","",VLOOKUP(TblGabungan[[#This Row],[Kode Barang]],Table_Barang[#All],2,0))</f>
        <v>#VALUE!</v>
      </c>
      <c r="H123" t="e">
        <f>VLOOKUP(TblGabungan[[#This Row],[Kode Barang]],Table_Barang[#All],4,0)</f>
        <v>#VALUE!</v>
      </c>
      <c r="I123" s="9" t="e">
        <f>IF(TblGabungan[[#This Row],[Kode Barang]]="","",VLOOKUP(TblGabungan[[#This Row],[Kode Barang]],Table_Barang[#All],5,0))</f>
        <v>#VALUE!</v>
      </c>
      <c r="J123" t="e">
        <f>IF(TblGabungan[[#This Row],[Kode Barang]]="","",VLOOKUP(TblGabungan[[#This Row],[Kode Barang]],TblStokAkhir[#All],3,0))</f>
        <v>#VALUE!</v>
      </c>
      <c r="K123" t="e">
        <f>IF(TblGabungan[[#This Row],[Kode Barang]]="","",VLOOKUP(TblGabungan[[#This Row],[Kode Barang]],TblStokAkhir[#All],4,0))</f>
        <v>#VALUE!</v>
      </c>
      <c r="L123" t="e">
        <f>IF(TblGabungan[[#This Row],[Kode Barang]]="","",VLOOKUP(TblGabungan[[#This Row],[Kode Barang]],TblStokAkhir[#All],5,0))</f>
        <v>#VALUE!</v>
      </c>
      <c r="M123" t="e">
        <f>IF(TblGabungan[[#This Row],[Kode Barang]]="","",VLOOKUP(TblGabungan[[#This Row],[Kode Barang]],TblStokAkhir[#All],5,0))</f>
        <v>#VALUE!</v>
      </c>
      <c r="N123" t="e">
        <f>IF(TblGabungan[[#This Row],[Kode Barang]]="","",VLOOKUP(TblGabungan[[#This Row],[Kode Barang]],TblStokAkhir[#All],7,0))</f>
        <v>#VALUE!</v>
      </c>
      <c r="O123" t="e">
        <f>IF(TblGabungan[[#This Row],[Kode Barang]]="","",VLOOKUP(TblGabungan[[#This Row],[Kode Barang]],TblStokAkhir[#All],8,0))</f>
        <v>#VALUE!</v>
      </c>
    </row>
    <row r="124" spans="6:15" x14ac:dyDescent="0.3">
      <c r="F124" t="e">
        <f>Table_Barang[[#This Row],[Kode Barang]]</f>
        <v>#VALUE!</v>
      </c>
      <c r="G124" t="e">
        <f>IF(TblGabungan[[#This Row],[Kode Barang]]="","",VLOOKUP(TblGabungan[[#This Row],[Kode Barang]],Table_Barang[#All],2,0))</f>
        <v>#VALUE!</v>
      </c>
      <c r="H124" t="e">
        <f>VLOOKUP(TblGabungan[[#This Row],[Kode Barang]],Table_Barang[#All],4,0)</f>
        <v>#VALUE!</v>
      </c>
      <c r="I124" s="9" t="e">
        <f>IF(TblGabungan[[#This Row],[Kode Barang]]="","",VLOOKUP(TblGabungan[[#This Row],[Kode Barang]],Table_Barang[#All],5,0))</f>
        <v>#VALUE!</v>
      </c>
      <c r="J124" t="e">
        <f>IF(TblGabungan[[#This Row],[Kode Barang]]="","",VLOOKUP(TblGabungan[[#This Row],[Kode Barang]],TblStokAkhir[#All],3,0))</f>
        <v>#VALUE!</v>
      </c>
      <c r="K124" t="e">
        <f>IF(TblGabungan[[#This Row],[Kode Barang]]="","",VLOOKUP(TblGabungan[[#This Row],[Kode Barang]],TblStokAkhir[#All],4,0))</f>
        <v>#VALUE!</v>
      </c>
      <c r="L124" t="e">
        <f>IF(TblGabungan[[#This Row],[Kode Barang]]="","",VLOOKUP(TblGabungan[[#This Row],[Kode Barang]],TblStokAkhir[#All],5,0))</f>
        <v>#VALUE!</v>
      </c>
      <c r="M124" t="e">
        <f>IF(TblGabungan[[#This Row],[Kode Barang]]="","",VLOOKUP(TblGabungan[[#This Row],[Kode Barang]],TblStokAkhir[#All],5,0))</f>
        <v>#VALUE!</v>
      </c>
      <c r="N124" t="e">
        <f>IF(TblGabungan[[#This Row],[Kode Barang]]="","",VLOOKUP(TblGabungan[[#This Row],[Kode Barang]],TblStokAkhir[#All],7,0))</f>
        <v>#VALUE!</v>
      </c>
      <c r="O124" t="e">
        <f>IF(TblGabungan[[#This Row],[Kode Barang]]="","",VLOOKUP(TblGabungan[[#This Row],[Kode Barang]],TblStokAkhir[#All],8,0))</f>
        <v>#VALUE!</v>
      </c>
    </row>
    <row r="125" spans="6:15" x14ac:dyDescent="0.3">
      <c r="F125" t="e">
        <f>Table_Barang[[#This Row],[Kode Barang]]</f>
        <v>#VALUE!</v>
      </c>
      <c r="G125" t="e">
        <f>IF(TblGabungan[[#This Row],[Kode Barang]]="","",VLOOKUP(TblGabungan[[#This Row],[Kode Barang]],Table_Barang[#All],2,0))</f>
        <v>#VALUE!</v>
      </c>
      <c r="H125" t="e">
        <f>VLOOKUP(TblGabungan[[#This Row],[Kode Barang]],Table_Barang[#All],4,0)</f>
        <v>#VALUE!</v>
      </c>
      <c r="I125" s="9" t="e">
        <f>IF(TblGabungan[[#This Row],[Kode Barang]]="","",VLOOKUP(TblGabungan[[#This Row],[Kode Barang]],Table_Barang[#All],5,0))</f>
        <v>#VALUE!</v>
      </c>
      <c r="J125" t="e">
        <f>IF(TblGabungan[[#This Row],[Kode Barang]]="","",VLOOKUP(TblGabungan[[#This Row],[Kode Barang]],TblStokAkhir[#All],3,0))</f>
        <v>#VALUE!</v>
      </c>
      <c r="K125" t="e">
        <f>IF(TblGabungan[[#This Row],[Kode Barang]]="","",VLOOKUP(TblGabungan[[#This Row],[Kode Barang]],TblStokAkhir[#All],4,0))</f>
        <v>#VALUE!</v>
      </c>
      <c r="L125" t="e">
        <f>IF(TblGabungan[[#This Row],[Kode Barang]]="","",VLOOKUP(TblGabungan[[#This Row],[Kode Barang]],TblStokAkhir[#All],5,0))</f>
        <v>#VALUE!</v>
      </c>
      <c r="M125" t="e">
        <f>IF(TblGabungan[[#This Row],[Kode Barang]]="","",VLOOKUP(TblGabungan[[#This Row],[Kode Barang]],TblStokAkhir[#All],5,0))</f>
        <v>#VALUE!</v>
      </c>
      <c r="N125" t="e">
        <f>IF(TblGabungan[[#This Row],[Kode Barang]]="","",VLOOKUP(TblGabungan[[#This Row],[Kode Barang]],TblStokAkhir[#All],7,0))</f>
        <v>#VALUE!</v>
      </c>
      <c r="O125" t="e">
        <f>IF(TblGabungan[[#This Row],[Kode Barang]]="","",VLOOKUP(TblGabungan[[#This Row],[Kode Barang]],TblStokAkhir[#All],8,0))</f>
        <v>#VALUE!</v>
      </c>
    </row>
    <row r="126" spans="6:15" x14ac:dyDescent="0.3">
      <c r="F126" t="e">
        <f>Table_Barang[[#This Row],[Kode Barang]]</f>
        <v>#VALUE!</v>
      </c>
      <c r="G126" t="e">
        <f>IF(TblGabungan[[#This Row],[Kode Barang]]="","",VLOOKUP(TblGabungan[[#This Row],[Kode Barang]],Table_Barang[#All],2,0))</f>
        <v>#VALUE!</v>
      </c>
      <c r="H126" t="e">
        <f>VLOOKUP(TblGabungan[[#This Row],[Kode Barang]],Table_Barang[#All],4,0)</f>
        <v>#VALUE!</v>
      </c>
      <c r="I126" s="9" t="e">
        <f>IF(TblGabungan[[#This Row],[Kode Barang]]="","",VLOOKUP(TblGabungan[[#This Row],[Kode Barang]],Table_Barang[#All],5,0))</f>
        <v>#VALUE!</v>
      </c>
      <c r="J126" t="e">
        <f>IF(TblGabungan[[#This Row],[Kode Barang]]="","",VLOOKUP(TblGabungan[[#This Row],[Kode Barang]],TblStokAkhir[#All],3,0))</f>
        <v>#VALUE!</v>
      </c>
      <c r="K126" t="e">
        <f>IF(TblGabungan[[#This Row],[Kode Barang]]="","",VLOOKUP(TblGabungan[[#This Row],[Kode Barang]],TblStokAkhir[#All],4,0))</f>
        <v>#VALUE!</v>
      </c>
      <c r="L126" t="e">
        <f>IF(TblGabungan[[#This Row],[Kode Barang]]="","",VLOOKUP(TblGabungan[[#This Row],[Kode Barang]],TblStokAkhir[#All],5,0))</f>
        <v>#VALUE!</v>
      </c>
      <c r="M126" t="e">
        <f>IF(TblGabungan[[#This Row],[Kode Barang]]="","",VLOOKUP(TblGabungan[[#This Row],[Kode Barang]],TblStokAkhir[#All],5,0))</f>
        <v>#VALUE!</v>
      </c>
      <c r="N126" t="e">
        <f>IF(TblGabungan[[#This Row],[Kode Barang]]="","",VLOOKUP(TblGabungan[[#This Row],[Kode Barang]],TblStokAkhir[#All],7,0))</f>
        <v>#VALUE!</v>
      </c>
      <c r="O126" t="e">
        <f>IF(TblGabungan[[#This Row],[Kode Barang]]="","",VLOOKUP(TblGabungan[[#This Row],[Kode Barang]],TblStokAkhir[#All],8,0))</f>
        <v>#VALUE!</v>
      </c>
    </row>
    <row r="127" spans="6:15" x14ac:dyDescent="0.3">
      <c r="F127" t="e">
        <f>Table_Barang[[#This Row],[Kode Barang]]</f>
        <v>#VALUE!</v>
      </c>
      <c r="G127" t="e">
        <f>IF(TblGabungan[[#This Row],[Kode Barang]]="","",VLOOKUP(TblGabungan[[#This Row],[Kode Barang]],Table_Barang[#All],2,0))</f>
        <v>#VALUE!</v>
      </c>
      <c r="H127" t="e">
        <f>VLOOKUP(TblGabungan[[#This Row],[Kode Barang]],Table_Barang[#All],4,0)</f>
        <v>#VALUE!</v>
      </c>
      <c r="I127" s="9" t="e">
        <f>IF(TblGabungan[[#This Row],[Kode Barang]]="","",VLOOKUP(TblGabungan[[#This Row],[Kode Barang]],Table_Barang[#All],5,0))</f>
        <v>#VALUE!</v>
      </c>
      <c r="J127" t="e">
        <f>IF(TblGabungan[[#This Row],[Kode Barang]]="","",VLOOKUP(TblGabungan[[#This Row],[Kode Barang]],TblStokAkhir[#All],3,0))</f>
        <v>#VALUE!</v>
      </c>
      <c r="K127" t="e">
        <f>IF(TblGabungan[[#This Row],[Kode Barang]]="","",VLOOKUP(TblGabungan[[#This Row],[Kode Barang]],TblStokAkhir[#All],4,0))</f>
        <v>#VALUE!</v>
      </c>
      <c r="L127" t="e">
        <f>IF(TblGabungan[[#This Row],[Kode Barang]]="","",VLOOKUP(TblGabungan[[#This Row],[Kode Barang]],TblStokAkhir[#All],5,0))</f>
        <v>#VALUE!</v>
      </c>
      <c r="M127" t="e">
        <f>IF(TblGabungan[[#This Row],[Kode Barang]]="","",VLOOKUP(TblGabungan[[#This Row],[Kode Barang]],TblStokAkhir[#All],5,0))</f>
        <v>#VALUE!</v>
      </c>
      <c r="N127" t="e">
        <f>IF(TblGabungan[[#This Row],[Kode Barang]]="","",VLOOKUP(TblGabungan[[#This Row],[Kode Barang]],TblStokAkhir[#All],7,0))</f>
        <v>#VALUE!</v>
      </c>
      <c r="O127" t="e">
        <f>IF(TblGabungan[[#This Row],[Kode Barang]]="","",VLOOKUP(TblGabungan[[#This Row],[Kode Barang]],TblStokAkhir[#All],8,0))</f>
        <v>#VALUE!</v>
      </c>
    </row>
    <row r="128" spans="6:15" x14ac:dyDescent="0.3">
      <c r="F128" t="e">
        <f>Table_Barang[[#This Row],[Kode Barang]]</f>
        <v>#VALUE!</v>
      </c>
      <c r="G128" t="e">
        <f>IF(TblGabungan[[#This Row],[Kode Barang]]="","",VLOOKUP(TblGabungan[[#This Row],[Kode Barang]],Table_Barang[#All],2,0))</f>
        <v>#VALUE!</v>
      </c>
      <c r="H128" t="e">
        <f>VLOOKUP(TblGabungan[[#This Row],[Kode Barang]],Table_Barang[#All],4,0)</f>
        <v>#VALUE!</v>
      </c>
      <c r="I128" s="9" t="e">
        <f>IF(TblGabungan[[#This Row],[Kode Barang]]="","",VLOOKUP(TblGabungan[[#This Row],[Kode Barang]],Table_Barang[#All],5,0))</f>
        <v>#VALUE!</v>
      </c>
      <c r="J128" t="e">
        <f>IF(TblGabungan[[#This Row],[Kode Barang]]="","",VLOOKUP(TblGabungan[[#This Row],[Kode Barang]],TblStokAkhir[#All],3,0))</f>
        <v>#VALUE!</v>
      </c>
      <c r="K128" t="e">
        <f>IF(TblGabungan[[#This Row],[Kode Barang]]="","",VLOOKUP(TblGabungan[[#This Row],[Kode Barang]],TblStokAkhir[#All],4,0))</f>
        <v>#VALUE!</v>
      </c>
      <c r="L128" t="e">
        <f>IF(TblGabungan[[#This Row],[Kode Barang]]="","",VLOOKUP(TblGabungan[[#This Row],[Kode Barang]],TblStokAkhir[#All],5,0))</f>
        <v>#VALUE!</v>
      </c>
      <c r="M128" t="e">
        <f>IF(TblGabungan[[#This Row],[Kode Barang]]="","",VLOOKUP(TblGabungan[[#This Row],[Kode Barang]],TblStokAkhir[#All],5,0))</f>
        <v>#VALUE!</v>
      </c>
      <c r="N128" t="e">
        <f>IF(TblGabungan[[#This Row],[Kode Barang]]="","",VLOOKUP(TblGabungan[[#This Row],[Kode Barang]],TblStokAkhir[#All],7,0))</f>
        <v>#VALUE!</v>
      </c>
      <c r="O128" t="e">
        <f>IF(TblGabungan[[#This Row],[Kode Barang]]="","",VLOOKUP(TblGabungan[[#This Row],[Kode Barang]],TblStokAkhir[#All],8,0))</f>
        <v>#VALUE!</v>
      </c>
    </row>
    <row r="129" spans="6:15" x14ac:dyDescent="0.3">
      <c r="F129" t="e">
        <f>Table_Barang[[#This Row],[Kode Barang]]</f>
        <v>#VALUE!</v>
      </c>
      <c r="G129" t="e">
        <f>IF(TblGabungan[[#This Row],[Kode Barang]]="","",VLOOKUP(TblGabungan[[#This Row],[Kode Barang]],Table_Barang[#All],2,0))</f>
        <v>#VALUE!</v>
      </c>
      <c r="H129" t="e">
        <f>VLOOKUP(TblGabungan[[#This Row],[Kode Barang]],Table_Barang[#All],4,0)</f>
        <v>#VALUE!</v>
      </c>
      <c r="I129" s="9" t="e">
        <f>IF(TblGabungan[[#This Row],[Kode Barang]]="","",VLOOKUP(TblGabungan[[#This Row],[Kode Barang]],Table_Barang[#All],5,0))</f>
        <v>#VALUE!</v>
      </c>
      <c r="J129" t="e">
        <f>IF(TblGabungan[[#This Row],[Kode Barang]]="","",VLOOKUP(TblGabungan[[#This Row],[Kode Barang]],TblStokAkhir[#All],3,0))</f>
        <v>#VALUE!</v>
      </c>
      <c r="K129" t="e">
        <f>IF(TblGabungan[[#This Row],[Kode Barang]]="","",VLOOKUP(TblGabungan[[#This Row],[Kode Barang]],TblStokAkhir[#All],4,0))</f>
        <v>#VALUE!</v>
      </c>
      <c r="L129" t="e">
        <f>IF(TblGabungan[[#This Row],[Kode Barang]]="","",VLOOKUP(TblGabungan[[#This Row],[Kode Barang]],TblStokAkhir[#All],5,0))</f>
        <v>#VALUE!</v>
      </c>
      <c r="M129" t="e">
        <f>IF(TblGabungan[[#This Row],[Kode Barang]]="","",VLOOKUP(TblGabungan[[#This Row],[Kode Barang]],TblStokAkhir[#All],5,0))</f>
        <v>#VALUE!</v>
      </c>
      <c r="N129" t="e">
        <f>IF(TblGabungan[[#This Row],[Kode Barang]]="","",VLOOKUP(TblGabungan[[#This Row],[Kode Barang]],TblStokAkhir[#All],7,0))</f>
        <v>#VALUE!</v>
      </c>
      <c r="O129" t="e">
        <f>IF(TblGabungan[[#This Row],[Kode Barang]]="","",VLOOKUP(TblGabungan[[#This Row],[Kode Barang]],TblStokAkhir[#All],8,0))</f>
        <v>#VALUE!</v>
      </c>
    </row>
    <row r="130" spans="6:15" x14ac:dyDescent="0.3">
      <c r="F130" t="e">
        <f>Table_Barang[[#This Row],[Kode Barang]]</f>
        <v>#VALUE!</v>
      </c>
      <c r="G130" t="e">
        <f>IF(TblGabungan[[#This Row],[Kode Barang]]="","",VLOOKUP(TblGabungan[[#This Row],[Kode Barang]],Table_Barang[#All],2,0))</f>
        <v>#VALUE!</v>
      </c>
      <c r="H130" t="e">
        <f>VLOOKUP(TblGabungan[[#This Row],[Kode Barang]],Table_Barang[#All],4,0)</f>
        <v>#VALUE!</v>
      </c>
      <c r="I130" s="9" t="e">
        <f>IF(TblGabungan[[#This Row],[Kode Barang]]="","",VLOOKUP(TblGabungan[[#This Row],[Kode Barang]],Table_Barang[#All],5,0))</f>
        <v>#VALUE!</v>
      </c>
      <c r="J130" t="e">
        <f>IF(TblGabungan[[#This Row],[Kode Barang]]="","",VLOOKUP(TblGabungan[[#This Row],[Kode Barang]],TblStokAkhir[#All],3,0))</f>
        <v>#VALUE!</v>
      </c>
      <c r="K130" t="e">
        <f>IF(TblGabungan[[#This Row],[Kode Barang]]="","",VLOOKUP(TblGabungan[[#This Row],[Kode Barang]],TblStokAkhir[#All],4,0))</f>
        <v>#VALUE!</v>
      </c>
      <c r="L130" t="e">
        <f>IF(TblGabungan[[#This Row],[Kode Barang]]="","",VLOOKUP(TblGabungan[[#This Row],[Kode Barang]],TblStokAkhir[#All],5,0))</f>
        <v>#VALUE!</v>
      </c>
      <c r="M130" t="e">
        <f>IF(TblGabungan[[#This Row],[Kode Barang]]="","",VLOOKUP(TblGabungan[[#This Row],[Kode Barang]],TblStokAkhir[#All],5,0))</f>
        <v>#VALUE!</v>
      </c>
      <c r="N130" t="e">
        <f>IF(TblGabungan[[#This Row],[Kode Barang]]="","",VLOOKUP(TblGabungan[[#This Row],[Kode Barang]],TblStokAkhir[#All],7,0))</f>
        <v>#VALUE!</v>
      </c>
      <c r="O130" t="e">
        <f>IF(TblGabungan[[#This Row],[Kode Barang]]="","",VLOOKUP(TblGabungan[[#This Row],[Kode Barang]],TblStokAkhir[#All],8,0))</f>
        <v>#VALUE!</v>
      </c>
    </row>
    <row r="131" spans="6:15" x14ac:dyDescent="0.3">
      <c r="F131" t="e">
        <f>Table_Barang[[#This Row],[Kode Barang]]</f>
        <v>#VALUE!</v>
      </c>
      <c r="G131" t="e">
        <f>IF(TblGabungan[[#This Row],[Kode Barang]]="","",VLOOKUP(TblGabungan[[#This Row],[Kode Barang]],Table_Barang[#All],2,0))</f>
        <v>#VALUE!</v>
      </c>
      <c r="H131" t="e">
        <f>VLOOKUP(TblGabungan[[#This Row],[Kode Barang]],Table_Barang[#All],4,0)</f>
        <v>#VALUE!</v>
      </c>
      <c r="I131" s="9" t="e">
        <f>IF(TblGabungan[[#This Row],[Kode Barang]]="","",VLOOKUP(TblGabungan[[#This Row],[Kode Barang]],Table_Barang[#All],5,0))</f>
        <v>#VALUE!</v>
      </c>
      <c r="J131" t="e">
        <f>IF(TblGabungan[[#This Row],[Kode Barang]]="","",VLOOKUP(TblGabungan[[#This Row],[Kode Barang]],TblStokAkhir[#All],3,0))</f>
        <v>#VALUE!</v>
      </c>
      <c r="K131" t="e">
        <f>IF(TblGabungan[[#This Row],[Kode Barang]]="","",VLOOKUP(TblGabungan[[#This Row],[Kode Barang]],TblStokAkhir[#All],4,0))</f>
        <v>#VALUE!</v>
      </c>
      <c r="L131" t="e">
        <f>IF(TblGabungan[[#This Row],[Kode Barang]]="","",VLOOKUP(TblGabungan[[#This Row],[Kode Barang]],TblStokAkhir[#All],5,0))</f>
        <v>#VALUE!</v>
      </c>
      <c r="M131" t="e">
        <f>IF(TblGabungan[[#This Row],[Kode Barang]]="","",VLOOKUP(TblGabungan[[#This Row],[Kode Barang]],TblStokAkhir[#All],5,0))</f>
        <v>#VALUE!</v>
      </c>
      <c r="N131" t="e">
        <f>IF(TblGabungan[[#This Row],[Kode Barang]]="","",VLOOKUP(TblGabungan[[#This Row],[Kode Barang]],TblStokAkhir[#All],7,0))</f>
        <v>#VALUE!</v>
      </c>
      <c r="O131" t="e">
        <f>IF(TblGabungan[[#This Row],[Kode Barang]]="","",VLOOKUP(TblGabungan[[#This Row],[Kode Barang]],TblStokAkhir[#All],8,0))</f>
        <v>#VALUE!</v>
      </c>
    </row>
    <row r="132" spans="6:15" x14ac:dyDescent="0.3">
      <c r="F132" t="e">
        <f>Table_Barang[[#This Row],[Kode Barang]]</f>
        <v>#VALUE!</v>
      </c>
      <c r="G132" t="e">
        <f>IF(TblGabungan[[#This Row],[Kode Barang]]="","",VLOOKUP(TblGabungan[[#This Row],[Kode Barang]],Table_Barang[#All],2,0))</f>
        <v>#VALUE!</v>
      </c>
      <c r="H132" t="e">
        <f>VLOOKUP(TblGabungan[[#This Row],[Kode Barang]],Table_Barang[#All],4,0)</f>
        <v>#VALUE!</v>
      </c>
      <c r="I132" s="9" t="e">
        <f>IF(TblGabungan[[#This Row],[Kode Barang]]="","",VLOOKUP(TblGabungan[[#This Row],[Kode Barang]],Table_Barang[#All],5,0))</f>
        <v>#VALUE!</v>
      </c>
      <c r="J132" t="e">
        <f>IF(TblGabungan[[#This Row],[Kode Barang]]="","",VLOOKUP(TblGabungan[[#This Row],[Kode Barang]],TblStokAkhir[#All],3,0))</f>
        <v>#VALUE!</v>
      </c>
      <c r="K132" t="e">
        <f>IF(TblGabungan[[#This Row],[Kode Barang]]="","",VLOOKUP(TblGabungan[[#This Row],[Kode Barang]],TblStokAkhir[#All],4,0))</f>
        <v>#VALUE!</v>
      </c>
      <c r="L132" t="e">
        <f>IF(TblGabungan[[#This Row],[Kode Barang]]="","",VLOOKUP(TblGabungan[[#This Row],[Kode Barang]],TblStokAkhir[#All],5,0))</f>
        <v>#VALUE!</v>
      </c>
      <c r="M132" t="e">
        <f>IF(TblGabungan[[#This Row],[Kode Barang]]="","",VLOOKUP(TblGabungan[[#This Row],[Kode Barang]],TblStokAkhir[#All],5,0))</f>
        <v>#VALUE!</v>
      </c>
      <c r="N132" t="e">
        <f>IF(TblGabungan[[#This Row],[Kode Barang]]="","",VLOOKUP(TblGabungan[[#This Row],[Kode Barang]],TblStokAkhir[#All],7,0))</f>
        <v>#VALUE!</v>
      </c>
      <c r="O132" t="e">
        <f>IF(TblGabungan[[#This Row],[Kode Barang]]="","",VLOOKUP(TblGabungan[[#This Row],[Kode Barang]],TblStokAkhir[#All],8,0))</f>
        <v>#VALUE!</v>
      </c>
    </row>
    <row r="133" spans="6:15" x14ac:dyDescent="0.3">
      <c r="F133" t="e">
        <f>Table_Barang[[#This Row],[Kode Barang]]</f>
        <v>#VALUE!</v>
      </c>
      <c r="G133" t="e">
        <f>IF(TblGabungan[[#This Row],[Kode Barang]]="","",VLOOKUP(TblGabungan[[#This Row],[Kode Barang]],Table_Barang[#All],2,0))</f>
        <v>#VALUE!</v>
      </c>
      <c r="H133" t="e">
        <f>VLOOKUP(TblGabungan[[#This Row],[Kode Barang]],Table_Barang[#All],4,0)</f>
        <v>#VALUE!</v>
      </c>
      <c r="I133" s="9" t="e">
        <f>IF(TblGabungan[[#This Row],[Kode Barang]]="","",VLOOKUP(TblGabungan[[#This Row],[Kode Barang]],Table_Barang[#All],5,0))</f>
        <v>#VALUE!</v>
      </c>
      <c r="J133" t="e">
        <f>IF(TblGabungan[[#This Row],[Kode Barang]]="","",VLOOKUP(TblGabungan[[#This Row],[Kode Barang]],TblStokAkhir[#All],3,0))</f>
        <v>#VALUE!</v>
      </c>
      <c r="K133" t="e">
        <f>IF(TblGabungan[[#This Row],[Kode Barang]]="","",VLOOKUP(TblGabungan[[#This Row],[Kode Barang]],TblStokAkhir[#All],4,0))</f>
        <v>#VALUE!</v>
      </c>
      <c r="L133" t="e">
        <f>IF(TblGabungan[[#This Row],[Kode Barang]]="","",VLOOKUP(TblGabungan[[#This Row],[Kode Barang]],TblStokAkhir[#All],5,0))</f>
        <v>#VALUE!</v>
      </c>
      <c r="M133" t="e">
        <f>IF(TblGabungan[[#This Row],[Kode Barang]]="","",VLOOKUP(TblGabungan[[#This Row],[Kode Barang]],TblStokAkhir[#All],5,0))</f>
        <v>#VALUE!</v>
      </c>
      <c r="N133" t="e">
        <f>IF(TblGabungan[[#This Row],[Kode Barang]]="","",VLOOKUP(TblGabungan[[#This Row],[Kode Barang]],TblStokAkhir[#All],7,0))</f>
        <v>#VALUE!</v>
      </c>
      <c r="O133" t="e">
        <f>IF(TblGabungan[[#This Row],[Kode Barang]]="","",VLOOKUP(TblGabungan[[#This Row],[Kode Barang]],TblStokAkhir[#All],8,0))</f>
        <v>#VALUE!</v>
      </c>
    </row>
    <row r="134" spans="6:15" x14ac:dyDescent="0.3">
      <c r="F134" t="e">
        <f>Table_Barang[[#This Row],[Kode Barang]]</f>
        <v>#VALUE!</v>
      </c>
      <c r="G134" t="e">
        <f>IF(TblGabungan[[#This Row],[Kode Barang]]="","",VLOOKUP(TblGabungan[[#This Row],[Kode Barang]],Table_Barang[#All],2,0))</f>
        <v>#VALUE!</v>
      </c>
      <c r="H134" t="e">
        <f>VLOOKUP(TblGabungan[[#This Row],[Kode Barang]],Table_Barang[#All],4,0)</f>
        <v>#VALUE!</v>
      </c>
      <c r="I134" s="9" t="e">
        <f>IF(TblGabungan[[#This Row],[Kode Barang]]="","",VLOOKUP(TblGabungan[[#This Row],[Kode Barang]],Table_Barang[#All],5,0))</f>
        <v>#VALUE!</v>
      </c>
      <c r="J134" t="e">
        <f>IF(TblGabungan[[#This Row],[Kode Barang]]="","",VLOOKUP(TblGabungan[[#This Row],[Kode Barang]],TblStokAkhir[#All],3,0))</f>
        <v>#VALUE!</v>
      </c>
      <c r="K134" t="e">
        <f>IF(TblGabungan[[#This Row],[Kode Barang]]="","",VLOOKUP(TblGabungan[[#This Row],[Kode Barang]],TblStokAkhir[#All],4,0))</f>
        <v>#VALUE!</v>
      </c>
      <c r="L134" t="e">
        <f>IF(TblGabungan[[#This Row],[Kode Barang]]="","",VLOOKUP(TblGabungan[[#This Row],[Kode Barang]],TblStokAkhir[#All],5,0))</f>
        <v>#VALUE!</v>
      </c>
      <c r="M134" t="e">
        <f>IF(TblGabungan[[#This Row],[Kode Barang]]="","",VLOOKUP(TblGabungan[[#This Row],[Kode Barang]],TblStokAkhir[#All],5,0))</f>
        <v>#VALUE!</v>
      </c>
      <c r="N134" t="e">
        <f>IF(TblGabungan[[#This Row],[Kode Barang]]="","",VLOOKUP(TblGabungan[[#This Row],[Kode Barang]],TblStokAkhir[#All],7,0))</f>
        <v>#VALUE!</v>
      </c>
      <c r="O134" t="e">
        <f>IF(TblGabungan[[#This Row],[Kode Barang]]="","",VLOOKUP(TblGabungan[[#This Row],[Kode Barang]],TblStokAkhir[#All],8,0))</f>
        <v>#VALUE!</v>
      </c>
    </row>
    <row r="135" spans="6:15" x14ac:dyDescent="0.3">
      <c r="F135" t="e">
        <f>Table_Barang[[#This Row],[Kode Barang]]</f>
        <v>#VALUE!</v>
      </c>
      <c r="G135" t="e">
        <f>IF(TblGabungan[[#This Row],[Kode Barang]]="","",VLOOKUP(TblGabungan[[#This Row],[Kode Barang]],Table_Barang[#All],2,0))</f>
        <v>#VALUE!</v>
      </c>
      <c r="H135" t="e">
        <f>VLOOKUP(TblGabungan[[#This Row],[Kode Barang]],Table_Barang[#All],4,0)</f>
        <v>#VALUE!</v>
      </c>
      <c r="I135" s="9" t="e">
        <f>IF(TblGabungan[[#This Row],[Kode Barang]]="","",VLOOKUP(TblGabungan[[#This Row],[Kode Barang]],Table_Barang[#All],5,0))</f>
        <v>#VALUE!</v>
      </c>
      <c r="J135" t="e">
        <f>IF(TblGabungan[[#This Row],[Kode Barang]]="","",VLOOKUP(TblGabungan[[#This Row],[Kode Barang]],TblStokAkhir[#All],3,0))</f>
        <v>#VALUE!</v>
      </c>
      <c r="K135" t="e">
        <f>IF(TblGabungan[[#This Row],[Kode Barang]]="","",VLOOKUP(TblGabungan[[#This Row],[Kode Barang]],TblStokAkhir[#All],4,0))</f>
        <v>#VALUE!</v>
      </c>
      <c r="L135" t="e">
        <f>IF(TblGabungan[[#This Row],[Kode Barang]]="","",VLOOKUP(TblGabungan[[#This Row],[Kode Barang]],TblStokAkhir[#All],5,0))</f>
        <v>#VALUE!</v>
      </c>
      <c r="M135" t="e">
        <f>IF(TblGabungan[[#This Row],[Kode Barang]]="","",VLOOKUP(TblGabungan[[#This Row],[Kode Barang]],TblStokAkhir[#All],5,0))</f>
        <v>#VALUE!</v>
      </c>
      <c r="N135" t="e">
        <f>IF(TblGabungan[[#This Row],[Kode Barang]]="","",VLOOKUP(TblGabungan[[#This Row],[Kode Barang]],TblStokAkhir[#All],7,0))</f>
        <v>#VALUE!</v>
      </c>
      <c r="O135" t="e">
        <f>IF(TblGabungan[[#This Row],[Kode Barang]]="","",VLOOKUP(TblGabungan[[#This Row],[Kode Barang]],TblStokAkhir[#All],8,0))</f>
        <v>#VALUE!</v>
      </c>
    </row>
    <row r="136" spans="6:15" x14ac:dyDescent="0.3">
      <c r="F136" t="e">
        <f>Table_Barang[[#This Row],[Kode Barang]]</f>
        <v>#VALUE!</v>
      </c>
      <c r="G136" t="e">
        <f>IF(TblGabungan[[#This Row],[Kode Barang]]="","",VLOOKUP(TblGabungan[[#This Row],[Kode Barang]],Table_Barang[#All],2,0))</f>
        <v>#VALUE!</v>
      </c>
      <c r="H136" t="e">
        <f>VLOOKUP(TblGabungan[[#This Row],[Kode Barang]],Table_Barang[#All],4,0)</f>
        <v>#VALUE!</v>
      </c>
      <c r="I136" s="9" t="e">
        <f>IF(TblGabungan[[#This Row],[Kode Barang]]="","",VLOOKUP(TblGabungan[[#This Row],[Kode Barang]],Table_Barang[#All],5,0))</f>
        <v>#VALUE!</v>
      </c>
      <c r="J136" t="e">
        <f>IF(TblGabungan[[#This Row],[Kode Barang]]="","",VLOOKUP(TblGabungan[[#This Row],[Kode Barang]],TblStokAkhir[#All],3,0))</f>
        <v>#VALUE!</v>
      </c>
      <c r="K136" t="e">
        <f>IF(TblGabungan[[#This Row],[Kode Barang]]="","",VLOOKUP(TblGabungan[[#This Row],[Kode Barang]],TblStokAkhir[#All],4,0))</f>
        <v>#VALUE!</v>
      </c>
      <c r="L136" t="e">
        <f>IF(TblGabungan[[#This Row],[Kode Barang]]="","",VLOOKUP(TblGabungan[[#This Row],[Kode Barang]],TblStokAkhir[#All],5,0))</f>
        <v>#VALUE!</v>
      </c>
      <c r="M136" t="e">
        <f>IF(TblGabungan[[#This Row],[Kode Barang]]="","",VLOOKUP(TblGabungan[[#This Row],[Kode Barang]],TblStokAkhir[#All],5,0))</f>
        <v>#VALUE!</v>
      </c>
      <c r="N136" t="e">
        <f>IF(TblGabungan[[#This Row],[Kode Barang]]="","",VLOOKUP(TblGabungan[[#This Row],[Kode Barang]],TblStokAkhir[#All],7,0))</f>
        <v>#VALUE!</v>
      </c>
      <c r="O136" t="e">
        <f>IF(TblGabungan[[#This Row],[Kode Barang]]="","",VLOOKUP(TblGabungan[[#This Row],[Kode Barang]],TblStokAkhir[#All],8,0))</f>
        <v>#VALUE!</v>
      </c>
    </row>
    <row r="137" spans="6:15" x14ac:dyDescent="0.3">
      <c r="F137" t="e">
        <f>Table_Barang[[#This Row],[Kode Barang]]</f>
        <v>#VALUE!</v>
      </c>
      <c r="G137" t="e">
        <f>IF(TblGabungan[[#This Row],[Kode Barang]]="","",VLOOKUP(TblGabungan[[#This Row],[Kode Barang]],Table_Barang[#All],2,0))</f>
        <v>#VALUE!</v>
      </c>
      <c r="H137" t="e">
        <f>VLOOKUP(TblGabungan[[#This Row],[Kode Barang]],Table_Barang[#All],4,0)</f>
        <v>#VALUE!</v>
      </c>
      <c r="I137" s="9" t="e">
        <f>IF(TblGabungan[[#This Row],[Kode Barang]]="","",VLOOKUP(TblGabungan[[#This Row],[Kode Barang]],Table_Barang[#All],5,0))</f>
        <v>#VALUE!</v>
      </c>
      <c r="J137" t="e">
        <f>IF(TblGabungan[[#This Row],[Kode Barang]]="","",VLOOKUP(TblGabungan[[#This Row],[Kode Barang]],TblStokAkhir[#All],3,0))</f>
        <v>#VALUE!</v>
      </c>
      <c r="K137" t="e">
        <f>IF(TblGabungan[[#This Row],[Kode Barang]]="","",VLOOKUP(TblGabungan[[#This Row],[Kode Barang]],TblStokAkhir[#All],4,0))</f>
        <v>#VALUE!</v>
      </c>
      <c r="L137" t="e">
        <f>IF(TblGabungan[[#This Row],[Kode Barang]]="","",VLOOKUP(TblGabungan[[#This Row],[Kode Barang]],TblStokAkhir[#All],5,0))</f>
        <v>#VALUE!</v>
      </c>
      <c r="M137" t="e">
        <f>IF(TblGabungan[[#This Row],[Kode Barang]]="","",VLOOKUP(TblGabungan[[#This Row],[Kode Barang]],TblStokAkhir[#All],5,0))</f>
        <v>#VALUE!</v>
      </c>
      <c r="N137" t="e">
        <f>IF(TblGabungan[[#This Row],[Kode Barang]]="","",VLOOKUP(TblGabungan[[#This Row],[Kode Barang]],TblStokAkhir[#All],7,0))</f>
        <v>#VALUE!</v>
      </c>
      <c r="O137" t="e">
        <f>IF(TblGabungan[[#This Row],[Kode Barang]]="","",VLOOKUP(TblGabungan[[#This Row],[Kode Barang]],TblStokAkhir[#All],8,0))</f>
        <v>#VALUE!</v>
      </c>
    </row>
    <row r="138" spans="6:15" x14ac:dyDescent="0.3">
      <c r="F138" t="e">
        <f>Table_Barang[[#This Row],[Kode Barang]]</f>
        <v>#VALUE!</v>
      </c>
      <c r="G138" t="e">
        <f>IF(TblGabungan[[#This Row],[Kode Barang]]="","",VLOOKUP(TblGabungan[[#This Row],[Kode Barang]],Table_Barang[#All],2,0))</f>
        <v>#VALUE!</v>
      </c>
      <c r="H138" t="e">
        <f>VLOOKUP(TblGabungan[[#This Row],[Kode Barang]],Table_Barang[#All],4,0)</f>
        <v>#VALUE!</v>
      </c>
      <c r="I138" s="9" t="e">
        <f>IF(TblGabungan[[#This Row],[Kode Barang]]="","",VLOOKUP(TblGabungan[[#This Row],[Kode Barang]],Table_Barang[#All],5,0))</f>
        <v>#VALUE!</v>
      </c>
      <c r="J138" t="e">
        <f>IF(TblGabungan[[#This Row],[Kode Barang]]="","",VLOOKUP(TblGabungan[[#This Row],[Kode Barang]],TblStokAkhir[#All],3,0))</f>
        <v>#VALUE!</v>
      </c>
      <c r="K138" t="e">
        <f>IF(TblGabungan[[#This Row],[Kode Barang]]="","",VLOOKUP(TblGabungan[[#This Row],[Kode Barang]],TblStokAkhir[#All],4,0))</f>
        <v>#VALUE!</v>
      </c>
      <c r="L138" t="e">
        <f>IF(TblGabungan[[#This Row],[Kode Barang]]="","",VLOOKUP(TblGabungan[[#This Row],[Kode Barang]],TblStokAkhir[#All],5,0))</f>
        <v>#VALUE!</v>
      </c>
      <c r="M138" t="e">
        <f>IF(TblGabungan[[#This Row],[Kode Barang]]="","",VLOOKUP(TblGabungan[[#This Row],[Kode Barang]],TblStokAkhir[#All],5,0))</f>
        <v>#VALUE!</v>
      </c>
      <c r="N138" t="e">
        <f>IF(TblGabungan[[#This Row],[Kode Barang]]="","",VLOOKUP(TblGabungan[[#This Row],[Kode Barang]],TblStokAkhir[#All],7,0))</f>
        <v>#VALUE!</v>
      </c>
      <c r="O138" t="e">
        <f>IF(TblGabungan[[#This Row],[Kode Barang]]="","",VLOOKUP(TblGabungan[[#This Row],[Kode Barang]],TblStokAkhir[#All],8,0))</f>
        <v>#VALUE!</v>
      </c>
    </row>
    <row r="139" spans="6:15" x14ac:dyDescent="0.3">
      <c r="F139" t="e">
        <f>Table_Barang[[#This Row],[Kode Barang]]</f>
        <v>#VALUE!</v>
      </c>
      <c r="G139" t="e">
        <f>IF(TblGabungan[[#This Row],[Kode Barang]]="","",VLOOKUP(TblGabungan[[#This Row],[Kode Barang]],Table_Barang[#All],2,0))</f>
        <v>#VALUE!</v>
      </c>
      <c r="H139" t="e">
        <f>VLOOKUP(TblGabungan[[#This Row],[Kode Barang]],Table_Barang[#All],4,0)</f>
        <v>#VALUE!</v>
      </c>
      <c r="I139" s="9" t="e">
        <f>IF(TblGabungan[[#This Row],[Kode Barang]]="","",VLOOKUP(TblGabungan[[#This Row],[Kode Barang]],Table_Barang[#All],5,0))</f>
        <v>#VALUE!</v>
      </c>
      <c r="J139" t="e">
        <f>IF(TblGabungan[[#This Row],[Kode Barang]]="","",VLOOKUP(TblGabungan[[#This Row],[Kode Barang]],TblStokAkhir[#All],3,0))</f>
        <v>#VALUE!</v>
      </c>
      <c r="K139" t="e">
        <f>IF(TblGabungan[[#This Row],[Kode Barang]]="","",VLOOKUP(TblGabungan[[#This Row],[Kode Barang]],TblStokAkhir[#All],4,0))</f>
        <v>#VALUE!</v>
      </c>
      <c r="L139" t="e">
        <f>IF(TblGabungan[[#This Row],[Kode Barang]]="","",VLOOKUP(TblGabungan[[#This Row],[Kode Barang]],TblStokAkhir[#All],5,0))</f>
        <v>#VALUE!</v>
      </c>
      <c r="M139" t="e">
        <f>IF(TblGabungan[[#This Row],[Kode Barang]]="","",VLOOKUP(TblGabungan[[#This Row],[Kode Barang]],TblStokAkhir[#All],5,0))</f>
        <v>#VALUE!</v>
      </c>
      <c r="N139" t="e">
        <f>IF(TblGabungan[[#This Row],[Kode Barang]]="","",VLOOKUP(TblGabungan[[#This Row],[Kode Barang]],TblStokAkhir[#All],7,0))</f>
        <v>#VALUE!</v>
      </c>
      <c r="O139" t="e">
        <f>IF(TblGabungan[[#This Row],[Kode Barang]]="","",VLOOKUP(TblGabungan[[#This Row],[Kode Barang]],TblStokAkhir[#All],8,0))</f>
        <v>#VALUE!</v>
      </c>
    </row>
    <row r="140" spans="6:15" x14ac:dyDescent="0.3">
      <c r="F140" t="e">
        <f>Table_Barang[[#This Row],[Kode Barang]]</f>
        <v>#VALUE!</v>
      </c>
      <c r="G140" t="e">
        <f>IF(TblGabungan[[#This Row],[Kode Barang]]="","",VLOOKUP(TblGabungan[[#This Row],[Kode Barang]],Table_Barang[#All],2,0))</f>
        <v>#VALUE!</v>
      </c>
      <c r="H140" t="e">
        <f>VLOOKUP(TblGabungan[[#This Row],[Kode Barang]],Table_Barang[#All],4,0)</f>
        <v>#VALUE!</v>
      </c>
      <c r="I140" s="9" t="e">
        <f>IF(TblGabungan[[#This Row],[Kode Barang]]="","",VLOOKUP(TblGabungan[[#This Row],[Kode Barang]],Table_Barang[#All],5,0))</f>
        <v>#VALUE!</v>
      </c>
      <c r="J140" t="e">
        <f>IF(TblGabungan[[#This Row],[Kode Barang]]="","",VLOOKUP(TblGabungan[[#This Row],[Kode Barang]],TblStokAkhir[#All],3,0))</f>
        <v>#VALUE!</v>
      </c>
      <c r="K140" t="e">
        <f>IF(TblGabungan[[#This Row],[Kode Barang]]="","",VLOOKUP(TblGabungan[[#This Row],[Kode Barang]],TblStokAkhir[#All],4,0))</f>
        <v>#VALUE!</v>
      </c>
      <c r="L140" t="e">
        <f>IF(TblGabungan[[#This Row],[Kode Barang]]="","",VLOOKUP(TblGabungan[[#This Row],[Kode Barang]],TblStokAkhir[#All],5,0))</f>
        <v>#VALUE!</v>
      </c>
      <c r="M140" t="e">
        <f>IF(TblGabungan[[#This Row],[Kode Barang]]="","",VLOOKUP(TblGabungan[[#This Row],[Kode Barang]],TblStokAkhir[#All],5,0))</f>
        <v>#VALUE!</v>
      </c>
      <c r="N140" t="e">
        <f>IF(TblGabungan[[#This Row],[Kode Barang]]="","",VLOOKUP(TblGabungan[[#This Row],[Kode Barang]],TblStokAkhir[#All],7,0))</f>
        <v>#VALUE!</v>
      </c>
      <c r="O140" t="e">
        <f>IF(TblGabungan[[#This Row],[Kode Barang]]="","",VLOOKUP(TblGabungan[[#This Row],[Kode Barang]],TblStokAkhir[#All],8,0))</f>
        <v>#VALUE!</v>
      </c>
    </row>
    <row r="141" spans="6:15" x14ac:dyDescent="0.3">
      <c r="F141" t="e">
        <f>Table_Barang[[#This Row],[Kode Barang]]</f>
        <v>#VALUE!</v>
      </c>
      <c r="G141" t="e">
        <f>IF(TblGabungan[[#This Row],[Kode Barang]]="","",VLOOKUP(TblGabungan[[#This Row],[Kode Barang]],Table_Barang[#All],2,0))</f>
        <v>#VALUE!</v>
      </c>
      <c r="H141" t="e">
        <f>VLOOKUP(TblGabungan[[#This Row],[Kode Barang]],Table_Barang[#All],4,0)</f>
        <v>#VALUE!</v>
      </c>
      <c r="I141" s="9" t="e">
        <f>IF(TblGabungan[[#This Row],[Kode Barang]]="","",VLOOKUP(TblGabungan[[#This Row],[Kode Barang]],Table_Barang[#All],5,0))</f>
        <v>#VALUE!</v>
      </c>
      <c r="J141" t="e">
        <f>IF(TblGabungan[[#This Row],[Kode Barang]]="","",VLOOKUP(TblGabungan[[#This Row],[Kode Barang]],TblStokAkhir[#All],3,0))</f>
        <v>#VALUE!</v>
      </c>
      <c r="K141" t="e">
        <f>IF(TblGabungan[[#This Row],[Kode Barang]]="","",VLOOKUP(TblGabungan[[#This Row],[Kode Barang]],TblStokAkhir[#All],4,0))</f>
        <v>#VALUE!</v>
      </c>
      <c r="L141" t="e">
        <f>IF(TblGabungan[[#This Row],[Kode Barang]]="","",VLOOKUP(TblGabungan[[#This Row],[Kode Barang]],TblStokAkhir[#All],5,0))</f>
        <v>#VALUE!</v>
      </c>
      <c r="M141" t="e">
        <f>IF(TblGabungan[[#This Row],[Kode Barang]]="","",VLOOKUP(TblGabungan[[#This Row],[Kode Barang]],TblStokAkhir[#All],5,0))</f>
        <v>#VALUE!</v>
      </c>
      <c r="N141" t="e">
        <f>IF(TblGabungan[[#This Row],[Kode Barang]]="","",VLOOKUP(TblGabungan[[#This Row],[Kode Barang]],TblStokAkhir[#All],7,0))</f>
        <v>#VALUE!</v>
      </c>
      <c r="O141" t="e">
        <f>IF(TblGabungan[[#This Row],[Kode Barang]]="","",VLOOKUP(TblGabungan[[#This Row],[Kode Barang]],TblStokAkhir[#All],8,0))</f>
        <v>#VALUE!</v>
      </c>
    </row>
    <row r="142" spans="6:15" x14ac:dyDescent="0.3">
      <c r="F142" t="e">
        <f>Table_Barang[[#This Row],[Kode Barang]]</f>
        <v>#VALUE!</v>
      </c>
      <c r="G142" t="e">
        <f>IF(TblGabungan[[#This Row],[Kode Barang]]="","",VLOOKUP(TblGabungan[[#This Row],[Kode Barang]],Table_Barang[#All],2,0))</f>
        <v>#VALUE!</v>
      </c>
      <c r="H142" t="e">
        <f>VLOOKUP(TblGabungan[[#This Row],[Kode Barang]],Table_Barang[#All],4,0)</f>
        <v>#VALUE!</v>
      </c>
      <c r="I142" s="9" t="e">
        <f>IF(TblGabungan[[#This Row],[Kode Barang]]="","",VLOOKUP(TblGabungan[[#This Row],[Kode Barang]],Table_Barang[#All],5,0))</f>
        <v>#VALUE!</v>
      </c>
      <c r="J142" t="e">
        <f>IF(TblGabungan[[#This Row],[Kode Barang]]="","",VLOOKUP(TblGabungan[[#This Row],[Kode Barang]],TblStokAkhir[#All],3,0))</f>
        <v>#VALUE!</v>
      </c>
      <c r="K142" t="e">
        <f>IF(TblGabungan[[#This Row],[Kode Barang]]="","",VLOOKUP(TblGabungan[[#This Row],[Kode Barang]],TblStokAkhir[#All],4,0))</f>
        <v>#VALUE!</v>
      </c>
      <c r="L142" t="e">
        <f>IF(TblGabungan[[#This Row],[Kode Barang]]="","",VLOOKUP(TblGabungan[[#This Row],[Kode Barang]],TblStokAkhir[#All],5,0))</f>
        <v>#VALUE!</v>
      </c>
      <c r="M142" t="e">
        <f>IF(TblGabungan[[#This Row],[Kode Barang]]="","",VLOOKUP(TblGabungan[[#This Row],[Kode Barang]],TblStokAkhir[#All],5,0))</f>
        <v>#VALUE!</v>
      </c>
      <c r="N142" t="e">
        <f>IF(TblGabungan[[#This Row],[Kode Barang]]="","",VLOOKUP(TblGabungan[[#This Row],[Kode Barang]],TblStokAkhir[#All],7,0))</f>
        <v>#VALUE!</v>
      </c>
      <c r="O142" t="e">
        <f>IF(TblGabungan[[#This Row],[Kode Barang]]="","",VLOOKUP(TblGabungan[[#This Row],[Kode Barang]],TblStokAkhir[#All],8,0))</f>
        <v>#VALUE!</v>
      </c>
    </row>
    <row r="143" spans="6:15" x14ac:dyDescent="0.3">
      <c r="F143" t="e">
        <f>Table_Barang[[#This Row],[Kode Barang]]</f>
        <v>#VALUE!</v>
      </c>
      <c r="G143" t="e">
        <f>IF(TblGabungan[[#This Row],[Kode Barang]]="","",VLOOKUP(TblGabungan[[#This Row],[Kode Barang]],Table_Barang[#All],2,0))</f>
        <v>#VALUE!</v>
      </c>
      <c r="H143" t="e">
        <f>VLOOKUP(TblGabungan[[#This Row],[Kode Barang]],Table_Barang[#All],4,0)</f>
        <v>#VALUE!</v>
      </c>
      <c r="I143" s="9" t="e">
        <f>IF(TblGabungan[[#This Row],[Kode Barang]]="","",VLOOKUP(TblGabungan[[#This Row],[Kode Barang]],Table_Barang[#All],5,0))</f>
        <v>#VALUE!</v>
      </c>
      <c r="J143" t="e">
        <f>IF(TblGabungan[[#This Row],[Kode Barang]]="","",VLOOKUP(TblGabungan[[#This Row],[Kode Barang]],TblStokAkhir[#All],3,0))</f>
        <v>#VALUE!</v>
      </c>
      <c r="K143" t="e">
        <f>IF(TblGabungan[[#This Row],[Kode Barang]]="","",VLOOKUP(TblGabungan[[#This Row],[Kode Barang]],TblStokAkhir[#All],4,0))</f>
        <v>#VALUE!</v>
      </c>
      <c r="L143" t="e">
        <f>IF(TblGabungan[[#This Row],[Kode Barang]]="","",VLOOKUP(TblGabungan[[#This Row],[Kode Barang]],TblStokAkhir[#All],5,0))</f>
        <v>#VALUE!</v>
      </c>
      <c r="M143" t="e">
        <f>IF(TblGabungan[[#This Row],[Kode Barang]]="","",VLOOKUP(TblGabungan[[#This Row],[Kode Barang]],TblStokAkhir[#All],5,0))</f>
        <v>#VALUE!</v>
      </c>
      <c r="N143" t="e">
        <f>IF(TblGabungan[[#This Row],[Kode Barang]]="","",VLOOKUP(TblGabungan[[#This Row],[Kode Barang]],TblStokAkhir[#All],7,0))</f>
        <v>#VALUE!</v>
      </c>
      <c r="O143" t="e">
        <f>IF(TblGabungan[[#This Row],[Kode Barang]]="","",VLOOKUP(TblGabungan[[#This Row],[Kode Barang]],TblStokAkhir[#All],8,0))</f>
        <v>#VALUE!</v>
      </c>
    </row>
    <row r="144" spans="6:15" x14ac:dyDescent="0.3">
      <c r="F144" t="e">
        <f>Table_Barang[[#This Row],[Kode Barang]]</f>
        <v>#VALUE!</v>
      </c>
      <c r="G144" t="e">
        <f>IF(TblGabungan[[#This Row],[Kode Barang]]="","",VLOOKUP(TblGabungan[[#This Row],[Kode Barang]],Table_Barang[#All],2,0))</f>
        <v>#VALUE!</v>
      </c>
      <c r="H144" t="e">
        <f>VLOOKUP(TblGabungan[[#This Row],[Kode Barang]],Table_Barang[#All],4,0)</f>
        <v>#VALUE!</v>
      </c>
      <c r="I144" s="9" t="e">
        <f>IF(TblGabungan[[#This Row],[Kode Barang]]="","",VLOOKUP(TblGabungan[[#This Row],[Kode Barang]],Table_Barang[#All],5,0))</f>
        <v>#VALUE!</v>
      </c>
      <c r="J144" t="e">
        <f>IF(TblGabungan[[#This Row],[Kode Barang]]="","",VLOOKUP(TblGabungan[[#This Row],[Kode Barang]],TblStokAkhir[#All],3,0))</f>
        <v>#VALUE!</v>
      </c>
      <c r="K144" t="e">
        <f>IF(TblGabungan[[#This Row],[Kode Barang]]="","",VLOOKUP(TblGabungan[[#This Row],[Kode Barang]],TblStokAkhir[#All],4,0))</f>
        <v>#VALUE!</v>
      </c>
      <c r="L144" t="e">
        <f>IF(TblGabungan[[#This Row],[Kode Barang]]="","",VLOOKUP(TblGabungan[[#This Row],[Kode Barang]],TblStokAkhir[#All],5,0))</f>
        <v>#VALUE!</v>
      </c>
      <c r="M144" t="e">
        <f>IF(TblGabungan[[#This Row],[Kode Barang]]="","",VLOOKUP(TblGabungan[[#This Row],[Kode Barang]],TblStokAkhir[#All],5,0))</f>
        <v>#VALUE!</v>
      </c>
      <c r="N144" t="e">
        <f>IF(TblGabungan[[#This Row],[Kode Barang]]="","",VLOOKUP(TblGabungan[[#This Row],[Kode Barang]],TblStokAkhir[#All],7,0))</f>
        <v>#VALUE!</v>
      </c>
      <c r="O144" t="e">
        <f>IF(TblGabungan[[#This Row],[Kode Barang]]="","",VLOOKUP(TblGabungan[[#This Row],[Kode Barang]],TblStokAkhir[#All],8,0))</f>
        <v>#VALUE!</v>
      </c>
    </row>
    <row r="145" spans="6:15" x14ac:dyDescent="0.3">
      <c r="F145" t="e">
        <f>Table_Barang[[#This Row],[Kode Barang]]</f>
        <v>#VALUE!</v>
      </c>
      <c r="G145" t="e">
        <f>IF(TblGabungan[[#This Row],[Kode Barang]]="","",VLOOKUP(TblGabungan[[#This Row],[Kode Barang]],Table_Barang[#All],2,0))</f>
        <v>#VALUE!</v>
      </c>
      <c r="H145" t="e">
        <f>VLOOKUP(TblGabungan[[#This Row],[Kode Barang]],Table_Barang[#All],4,0)</f>
        <v>#VALUE!</v>
      </c>
      <c r="I145" s="9" t="e">
        <f>IF(TblGabungan[[#This Row],[Kode Barang]]="","",VLOOKUP(TblGabungan[[#This Row],[Kode Barang]],Table_Barang[#All],5,0))</f>
        <v>#VALUE!</v>
      </c>
      <c r="J145" t="e">
        <f>IF(TblGabungan[[#This Row],[Kode Barang]]="","",VLOOKUP(TblGabungan[[#This Row],[Kode Barang]],TblStokAkhir[#All],3,0))</f>
        <v>#VALUE!</v>
      </c>
      <c r="K145" t="e">
        <f>IF(TblGabungan[[#This Row],[Kode Barang]]="","",VLOOKUP(TblGabungan[[#This Row],[Kode Barang]],TblStokAkhir[#All],4,0))</f>
        <v>#VALUE!</v>
      </c>
      <c r="L145" t="e">
        <f>IF(TblGabungan[[#This Row],[Kode Barang]]="","",VLOOKUP(TblGabungan[[#This Row],[Kode Barang]],TblStokAkhir[#All],5,0))</f>
        <v>#VALUE!</v>
      </c>
      <c r="M145" t="e">
        <f>IF(TblGabungan[[#This Row],[Kode Barang]]="","",VLOOKUP(TblGabungan[[#This Row],[Kode Barang]],TblStokAkhir[#All],5,0))</f>
        <v>#VALUE!</v>
      </c>
      <c r="N145" t="e">
        <f>IF(TblGabungan[[#This Row],[Kode Barang]]="","",VLOOKUP(TblGabungan[[#This Row],[Kode Barang]],TblStokAkhir[#All],7,0))</f>
        <v>#VALUE!</v>
      </c>
      <c r="O145" t="e">
        <f>IF(TblGabungan[[#This Row],[Kode Barang]]="","",VLOOKUP(TblGabungan[[#This Row],[Kode Barang]],TblStokAkhir[#All],8,0))</f>
        <v>#VALUE!</v>
      </c>
    </row>
    <row r="146" spans="6:15" x14ac:dyDescent="0.3">
      <c r="F146" t="e">
        <f>Table_Barang[[#This Row],[Kode Barang]]</f>
        <v>#VALUE!</v>
      </c>
      <c r="G146" t="e">
        <f>IF(TblGabungan[[#This Row],[Kode Barang]]="","",VLOOKUP(TblGabungan[[#This Row],[Kode Barang]],Table_Barang[#All],2,0))</f>
        <v>#VALUE!</v>
      </c>
      <c r="H146" t="e">
        <f>VLOOKUP(TblGabungan[[#This Row],[Kode Barang]],Table_Barang[#All],4,0)</f>
        <v>#VALUE!</v>
      </c>
      <c r="I146" s="9" t="e">
        <f>IF(TblGabungan[[#This Row],[Kode Barang]]="","",VLOOKUP(TblGabungan[[#This Row],[Kode Barang]],Table_Barang[#All],5,0))</f>
        <v>#VALUE!</v>
      </c>
      <c r="J146" t="e">
        <f>IF(TblGabungan[[#This Row],[Kode Barang]]="","",VLOOKUP(TblGabungan[[#This Row],[Kode Barang]],TblStokAkhir[#All],3,0))</f>
        <v>#VALUE!</v>
      </c>
      <c r="K146" t="e">
        <f>IF(TblGabungan[[#This Row],[Kode Barang]]="","",VLOOKUP(TblGabungan[[#This Row],[Kode Barang]],TblStokAkhir[#All],4,0))</f>
        <v>#VALUE!</v>
      </c>
      <c r="L146" t="e">
        <f>IF(TblGabungan[[#This Row],[Kode Barang]]="","",VLOOKUP(TblGabungan[[#This Row],[Kode Barang]],TblStokAkhir[#All],5,0))</f>
        <v>#VALUE!</v>
      </c>
      <c r="M146" t="e">
        <f>IF(TblGabungan[[#This Row],[Kode Barang]]="","",VLOOKUP(TblGabungan[[#This Row],[Kode Barang]],TblStokAkhir[#All],5,0))</f>
        <v>#VALUE!</v>
      </c>
      <c r="N146" t="e">
        <f>IF(TblGabungan[[#This Row],[Kode Barang]]="","",VLOOKUP(TblGabungan[[#This Row],[Kode Barang]],TblStokAkhir[#All],7,0))</f>
        <v>#VALUE!</v>
      </c>
      <c r="O146" t="e">
        <f>IF(TblGabungan[[#This Row],[Kode Barang]]="","",VLOOKUP(TblGabungan[[#This Row],[Kode Barang]],TblStokAkhir[#All],8,0))</f>
        <v>#VALUE!</v>
      </c>
    </row>
    <row r="147" spans="6:15" x14ac:dyDescent="0.3">
      <c r="F147" t="e">
        <f>Table_Barang[[#This Row],[Kode Barang]]</f>
        <v>#VALUE!</v>
      </c>
      <c r="G147" t="e">
        <f>IF(TblGabungan[[#This Row],[Kode Barang]]="","",VLOOKUP(TblGabungan[[#This Row],[Kode Barang]],Table_Barang[#All],2,0))</f>
        <v>#VALUE!</v>
      </c>
      <c r="H147" t="e">
        <f>VLOOKUP(TblGabungan[[#This Row],[Kode Barang]],Table_Barang[#All],4,0)</f>
        <v>#VALUE!</v>
      </c>
      <c r="I147" s="9" t="e">
        <f>IF(TblGabungan[[#This Row],[Kode Barang]]="","",VLOOKUP(TblGabungan[[#This Row],[Kode Barang]],Table_Barang[#All],5,0))</f>
        <v>#VALUE!</v>
      </c>
      <c r="J147" t="e">
        <f>IF(TblGabungan[[#This Row],[Kode Barang]]="","",VLOOKUP(TblGabungan[[#This Row],[Kode Barang]],TblStokAkhir[#All],3,0))</f>
        <v>#VALUE!</v>
      </c>
      <c r="K147" t="e">
        <f>IF(TblGabungan[[#This Row],[Kode Barang]]="","",VLOOKUP(TblGabungan[[#This Row],[Kode Barang]],TblStokAkhir[#All],4,0))</f>
        <v>#VALUE!</v>
      </c>
      <c r="L147" t="e">
        <f>IF(TblGabungan[[#This Row],[Kode Barang]]="","",VLOOKUP(TblGabungan[[#This Row],[Kode Barang]],TblStokAkhir[#All],5,0))</f>
        <v>#VALUE!</v>
      </c>
      <c r="M147" t="e">
        <f>IF(TblGabungan[[#This Row],[Kode Barang]]="","",VLOOKUP(TblGabungan[[#This Row],[Kode Barang]],TblStokAkhir[#All],5,0))</f>
        <v>#VALUE!</v>
      </c>
      <c r="N147" t="e">
        <f>IF(TblGabungan[[#This Row],[Kode Barang]]="","",VLOOKUP(TblGabungan[[#This Row],[Kode Barang]],TblStokAkhir[#All],7,0))</f>
        <v>#VALUE!</v>
      </c>
      <c r="O147" t="e">
        <f>IF(TblGabungan[[#This Row],[Kode Barang]]="","",VLOOKUP(TblGabungan[[#This Row],[Kode Barang]],TblStokAkhir[#All],8,0))</f>
        <v>#VALUE!</v>
      </c>
    </row>
    <row r="148" spans="6:15" x14ac:dyDescent="0.3">
      <c r="F148" t="e">
        <f>Table_Barang[[#This Row],[Kode Barang]]</f>
        <v>#VALUE!</v>
      </c>
      <c r="G148" t="e">
        <f>IF(TblGabungan[[#This Row],[Kode Barang]]="","",VLOOKUP(TblGabungan[[#This Row],[Kode Barang]],Table_Barang[#All],2,0))</f>
        <v>#VALUE!</v>
      </c>
      <c r="H148" t="e">
        <f>VLOOKUP(TblGabungan[[#This Row],[Kode Barang]],Table_Barang[#All],4,0)</f>
        <v>#VALUE!</v>
      </c>
      <c r="I148" s="9" t="e">
        <f>IF(TblGabungan[[#This Row],[Kode Barang]]="","",VLOOKUP(TblGabungan[[#This Row],[Kode Barang]],Table_Barang[#All],5,0))</f>
        <v>#VALUE!</v>
      </c>
      <c r="J148" t="e">
        <f>IF(TblGabungan[[#This Row],[Kode Barang]]="","",VLOOKUP(TblGabungan[[#This Row],[Kode Barang]],TblStokAkhir[#All],3,0))</f>
        <v>#VALUE!</v>
      </c>
      <c r="K148" t="e">
        <f>IF(TblGabungan[[#This Row],[Kode Barang]]="","",VLOOKUP(TblGabungan[[#This Row],[Kode Barang]],TblStokAkhir[#All],4,0))</f>
        <v>#VALUE!</v>
      </c>
      <c r="L148" t="e">
        <f>IF(TblGabungan[[#This Row],[Kode Barang]]="","",VLOOKUP(TblGabungan[[#This Row],[Kode Barang]],TblStokAkhir[#All],5,0))</f>
        <v>#VALUE!</v>
      </c>
      <c r="M148" t="e">
        <f>IF(TblGabungan[[#This Row],[Kode Barang]]="","",VLOOKUP(TblGabungan[[#This Row],[Kode Barang]],TblStokAkhir[#All],5,0))</f>
        <v>#VALUE!</v>
      </c>
      <c r="N148" t="e">
        <f>IF(TblGabungan[[#This Row],[Kode Barang]]="","",VLOOKUP(TblGabungan[[#This Row],[Kode Barang]],TblStokAkhir[#All],7,0))</f>
        <v>#VALUE!</v>
      </c>
      <c r="O148" t="e">
        <f>IF(TblGabungan[[#This Row],[Kode Barang]]="","",VLOOKUP(TblGabungan[[#This Row],[Kode Barang]],TblStokAkhir[#All],8,0))</f>
        <v>#VALUE!</v>
      </c>
    </row>
    <row r="149" spans="6:15" x14ac:dyDescent="0.3">
      <c r="F149" t="e">
        <f>Table_Barang[[#This Row],[Kode Barang]]</f>
        <v>#VALUE!</v>
      </c>
      <c r="G149" t="e">
        <f>IF(TblGabungan[[#This Row],[Kode Barang]]="","",VLOOKUP(TblGabungan[[#This Row],[Kode Barang]],Table_Barang[#All],2,0))</f>
        <v>#VALUE!</v>
      </c>
      <c r="H149" t="e">
        <f>VLOOKUP(TblGabungan[[#This Row],[Kode Barang]],Table_Barang[#All],4,0)</f>
        <v>#VALUE!</v>
      </c>
      <c r="I149" s="9" t="e">
        <f>IF(TblGabungan[[#This Row],[Kode Barang]]="","",VLOOKUP(TblGabungan[[#This Row],[Kode Barang]],Table_Barang[#All],5,0))</f>
        <v>#VALUE!</v>
      </c>
      <c r="J149" t="e">
        <f>IF(TblGabungan[[#This Row],[Kode Barang]]="","",VLOOKUP(TblGabungan[[#This Row],[Kode Barang]],TblStokAkhir[#All],3,0))</f>
        <v>#VALUE!</v>
      </c>
      <c r="K149" t="e">
        <f>IF(TblGabungan[[#This Row],[Kode Barang]]="","",VLOOKUP(TblGabungan[[#This Row],[Kode Barang]],TblStokAkhir[#All],4,0))</f>
        <v>#VALUE!</v>
      </c>
      <c r="L149" t="e">
        <f>IF(TblGabungan[[#This Row],[Kode Barang]]="","",VLOOKUP(TblGabungan[[#This Row],[Kode Barang]],TblStokAkhir[#All],5,0))</f>
        <v>#VALUE!</v>
      </c>
      <c r="M149" t="e">
        <f>IF(TblGabungan[[#This Row],[Kode Barang]]="","",VLOOKUP(TblGabungan[[#This Row],[Kode Barang]],TblStokAkhir[#All],5,0))</f>
        <v>#VALUE!</v>
      </c>
      <c r="N149" t="e">
        <f>IF(TblGabungan[[#This Row],[Kode Barang]]="","",VLOOKUP(TblGabungan[[#This Row],[Kode Barang]],TblStokAkhir[#All],7,0))</f>
        <v>#VALUE!</v>
      </c>
      <c r="O149" t="e">
        <f>IF(TblGabungan[[#This Row],[Kode Barang]]="","",VLOOKUP(TblGabungan[[#This Row],[Kode Barang]],TblStokAkhir[#All],8,0))</f>
        <v>#VALUE!</v>
      </c>
    </row>
    <row r="150" spans="6:15" x14ac:dyDescent="0.3">
      <c r="F150" t="e">
        <f>Table_Barang[[#This Row],[Kode Barang]]</f>
        <v>#VALUE!</v>
      </c>
      <c r="G150" t="e">
        <f>IF(TblGabungan[[#This Row],[Kode Barang]]="","",VLOOKUP(TblGabungan[[#This Row],[Kode Barang]],Table_Barang[#All],2,0))</f>
        <v>#VALUE!</v>
      </c>
      <c r="H150" t="e">
        <f>VLOOKUP(TblGabungan[[#This Row],[Kode Barang]],Table_Barang[#All],4,0)</f>
        <v>#VALUE!</v>
      </c>
      <c r="I150" s="9" t="e">
        <f>IF(TblGabungan[[#This Row],[Kode Barang]]="","",VLOOKUP(TblGabungan[[#This Row],[Kode Barang]],Table_Barang[#All],5,0))</f>
        <v>#VALUE!</v>
      </c>
      <c r="J150" t="e">
        <f>IF(TblGabungan[[#This Row],[Kode Barang]]="","",VLOOKUP(TblGabungan[[#This Row],[Kode Barang]],TblStokAkhir[#All],3,0))</f>
        <v>#VALUE!</v>
      </c>
      <c r="K150" t="e">
        <f>IF(TblGabungan[[#This Row],[Kode Barang]]="","",VLOOKUP(TblGabungan[[#This Row],[Kode Barang]],TblStokAkhir[#All],4,0))</f>
        <v>#VALUE!</v>
      </c>
      <c r="L150" t="e">
        <f>IF(TblGabungan[[#This Row],[Kode Barang]]="","",VLOOKUP(TblGabungan[[#This Row],[Kode Barang]],TblStokAkhir[#All],5,0))</f>
        <v>#VALUE!</v>
      </c>
      <c r="M150" t="e">
        <f>IF(TblGabungan[[#This Row],[Kode Barang]]="","",VLOOKUP(TblGabungan[[#This Row],[Kode Barang]],TblStokAkhir[#All],5,0))</f>
        <v>#VALUE!</v>
      </c>
      <c r="N150" t="e">
        <f>IF(TblGabungan[[#This Row],[Kode Barang]]="","",VLOOKUP(TblGabungan[[#This Row],[Kode Barang]],TblStokAkhir[#All],7,0))</f>
        <v>#VALUE!</v>
      </c>
      <c r="O150" t="e">
        <f>IF(TblGabungan[[#This Row],[Kode Barang]]="","",VLOOKUP(TblGabungan[[#This Row],[Kode Barang]],TblStokAkhir[#All],8,0))</f>
        <v>#VALUE!</v>
      </c>
    </row>
    <row r="151" spans="6:15" x14ac:dyDescent="0.3">
      <c r="F151" t="e">
        <f>Table_Barang[[#This Row],[Kode Barang]]</f>
        <v>#VALUE!</v>
      </c>
      <c r="G151" t="e">
        <f>IF(TblGabungan[[#This Row],[Kode Barang]]="","",VLOOKUP(TblGabungan[[#This Row],[Kode Barang]],Table_Barang[#All],2,0))</f>
        <v>#VALUE!</v>
      </c>
      <c r="H151" t="e">
        <f>VLOOKUP(TblGabungan[[#This Row],[Kode Barang]],Table_Barang[#All],4,0)</f>
        <v>#VALUE!</v>
      </c>
      <c r="I151" s="9" t="e">
        <f>IF(TblGabungan[[#This Row],[Kode Barang]]="","",VLOOKUP(TblGabungan[[#This Row],[Kode Barang]],Table_Barang[#All],5,0))</f>
        <v>#VALUE!</v>
      </c>
      <c r="J151" t="e">
        <f>IF(TblGabungan[[#This Row],[Kode Barang]]="","",VLOOKUP(TblGabungan[[#This Row],[Kode Barang]],TblStokAkhir[#All],3,0))</f>
        <v>#VALUE!</v>
      </c>
      <c r="K151" t="e">
        <f>IF(TblGabungan[[#This Row],[Kode Barang]]="","",VLOOKUP(TblGabungan[[#This Row],[Kode Barang]],TblStokAkhir[#All],4,0))</f>
        <v>#VALUE!</v>
      </c>
      <c r="L151" t="e">
        <f>IF(TblGabungan[[#This Row],[Kode Barang]]="","",VLOOKUP(TblGabungan[[#This Row],[Kode Barang]],TblStokAkhir[#All],5,0))</f>
        <v>#VALUE!</v>
      </c>
      <c r="M151" t="e">
        <f>IF(TblGabungan[[#This Row],[Kode Barang]]="","",VLOOKUP(TblGabungan[[#This Row],[Kode Barang]],TblStokAkhir[#All],5,0))</f>
        <v>#VALUE!</v>
      </c>
      <c r="N151" t="e">
        <f>IF(TblGabungan[[#This Row],[Kode Barang]]="","",VLOOKUP(TblGabungan[[#This Row],[Kode Barang]],TblStokAkhir[#All],7,0))</f>
        <v>#VALUE!</v>
      </c>
      <c r="O151" t="e">
        <f>IF(TblGabungan[[#This Row],[Kode Barang]]="","",VLOOKUP(TblGabungan[[#This Row],[Kode Barang]],TblStokAkhir[#All],8,0))</f>
        <v>#VALUE!</v>
      </c>
    </row>
    <row r="152" spans="6:15" x14ac:dyDescent="0.3">
      <c r="F152" t="e">
        <f>Table_Barang[[#This Row],[Kode Barang]]</f>
        <v>#VALUE!</v>
      </c>
      <c r="G152" t="e">
        <f>IF(TblGabungan[[#This Row],[Kode Barang]]="","",VLOOKUP(TblGabungan[[#This Row],[Kode Barang]],Table_Barang[#All],2,0))</f>
        <v>#VALUE!</v>
      </c>
      <c r="H152" t="e">
        <f>VLOOKUP(TblGabungan[[#This Row],[Kode Barang]],Table_Barang[#All],4,0)</f>
        <v>#VALUE!</v>
      </c>
      <c r="I152" s="9" t="e">
        <f>IF(TblGabungan[[#This Row],[Kode Barang]]="","",VLOOKUP(TblGabungan[[#This Row],[Kode Barang]],Table_Barang[#All],5,0))</f>
        <v>#VALUE!</v>
      </c>
      <c r="J152" t="e">
        <f>IF(TblGabungan[[#This Row],[Kode Barang]]="","",VLOOKUP(TblGabungan[[#This Row],[Kode Barang]],TblStokAkhir[#All],3,0))</f>
        <v>#VALUE!</v>
      </c>
      <c r="K152" t="e">
        <f>IF(TblGabungan[[#This Row],[Kode Barang]]="","",VLOOKUP(TblGabungan[[#This Row],[Kode Barang]],TblStokAkhir[#All],4,0))</f>
        <v>#VALUE!</v>
      </c>
      <c r="L152" t="e">
        <f>IF(TblGabungan[[#This Row],[Kode Barang]]="","",VLOOKUP(TblGabungan[[#This Row],[Kode Barang]],TblStokAkhir[#All],5,0))</f>
        <v>#VALUE!</v>
      </c>
      <c r="M152" t="e">
        <f>IF(TblGabungan[[#This Row],[Kode Barang]]="","",VLOOKUP(TblGabungan[[#This Row],[Kode Barang]],TblStokAkhir[#All],5,0))</f>
        <v>#VALUE!</v>
      </c>
      <c r="N152" t="e">
        <f>IF(TblGabungan[[#This Row],[Kode Barang]]="","",VLOOKUP(TblGabungan[[#This Row],[Kode Barang]],TblStokAkhir[#All],7,0))</f>
        <v>#VALUE!</v>
      </c>
      <c r="O152" t="e">
        <f>IF(TblGabungan[[#This Row],[Kode Barang]]="","",VLOOKUP(TblGabungan[[#This Row],[Kode Barang]],TblStokAkhir[#All],8,0))</f>
        <v>#VALUE!</v>
      </c>
    </row>
    <row r="153" spans="6:15" x14ac:dyDescent="0.3">
      <c r="F153" t="e">
        <f>Table_Barang[[#This Row],[Kode Barang]]</f>
        <v>#VALUE!</v>
      </c>
      <c r="G153" t="e">
        <f>IF(TblGabungan[[#This Row],[Kode Barang]]="","",VLOOKUP(TblGabungan[[#This Row],[Kode Barang]],Table_Barang[#All],2,0))</f>
        <v>#VALUE!</v>
      </c>
      <c r="H153" t="e">
        <f>VLOOKUP(TblGabungan[[#This Row],[Kode Barang]],Table_Barang[#All],4,0)</f>
        <v>#VALUE!</v>
      </c>
      <c r="I153" s="9" t="e">
        <f>IF(TblGabungan[[#This Row],[Kode Barang]]="","",VLOOKUP(TblGabungan[[#This Row],[Kode Barang]],Table_Barang[#All],5,0))</f>
        <v>#VALUE!</v>
      </c>
      <c r="J153" t="e">
        <f>IF(TblGabungan[[#This Row],[Kode Barang]]="","",VLOOKUP(TblGabungan[[#This Row],[Kode Barang]],TblStokAkhir[#All],3,0))</f>
        <v>#VALUE!</v>
      </c>
      <c r="K153" t="e">
        <f>IF(TblGabungan[[#This Row],[Kode Barang]]="","",VLOOKUP(TblGabungan[[#This Row],[Kode Barang]],TblStokAkhir[#All],4,0))</f>
        <v>#VALUE!</v>
      </c>
      <c r="L153" t="e">
        <f>IF(TblGabungan[[#This Row],[Kode Barang]]="","",VLOOKUP(TblGabungan[[#This Row],[Kode Barang]],TblStokAkhir[#All],5,0))</f>
        <v>#VALUE!</v>
      </c>
      <c r="M153" t="e">
        <f>IF(TblGabungan[[#This Row],[Kode Barang]]="","",VLOOKUP(TblGabungan[[#This Row],[Kode Barang]],TblStokAkhir[#All],5,0))</f>
        <v>#VALUE!</v>
      </c>
      <c r="N153" t="e">
        <f>IF(TblGabungan[[#This Row],[Kode Barang]]="","",VLOOKUP(TblGabungan[[#This Row],[Kode Barang]],TblStokAkhir[#All],7,0))</f>
        <v>#VALUE!</v>
      </c>
      <c r="O153" t="e">
        <f>IF(TblGabungan[[#This Row],[Kode Barang]]="","",VLOOKUP(TblGabungan[[#This Row],[Kode Barang]],TblStokAkhir[#All],8,0))</f>
        <v>#VALUE!</v>
      </c>
    </row>
    <row r="154" spans="6:15" x14ac:dyDescent="0.3">
      <c r="F154" t="e">
        <f>Table_Barang[[#This Row],[Kode Barang]]</f>
        <v>#VALUE!</v>
      </c>
      <c r="G154" t="e">
        <f>IF(TblGabungan[[#This Row],[Kode Barang]]="","",VLOOKUP(TblGabungan[[#This Row],[Kode Barang]],Table_Barang[#All],2,0))</f>
        <v>#VALUE!</v>
      </c>
      <c r="H154" t="e">
        <f>VLOOKUP(TblGabungan[[#This Row],[Kode Barang]],Table_Barang[#All],4,0)</f>
        <v>#VALUE!</v>
      </c>
      <c r="I154" s="9" t="e">
        <f>IF(TblGabungan[[#This Row],[Kode Barang]]="","",VLOOKUP(TblGabungan[[#This Row],[Kode Barang]],Table_Barang[#All],5,0))</f>
        <v>#VALUE!</v>
      </c>
      <c r="J154" t="e">
        <f>IF(TblGabungan[[#This Row],[Kode Barang]]="","",VLOOKUP(TblGabungan[[#This Row],[Kode Barang]],TblStokAkhir[#All],3,0))</f>
        <v>#VALUE!</v>
      </c>
      <c r="K154" t="e">
        <f>IF(TblGabungan[[#This Row],[Kode Barang]]="","",VLOOKUP(TblGabungan[[#This Row],[Kode Barang]],TblStokAkhir[#All],4,0))</f>
        <v>#VALUE!</v>
      </c>
      <c r="L154" t="e">
        <f>IF(TblGabungan[[#This Row],[Kode Barang]]="","",VLOOKUP(TblGabungan[[#This Row],[Kode Barang]],TblStokAkhir[#All],5,0))</f>
        <v>#VALUE!</v>
      </c>
      <c r="M154" t="e">
        <f>IF(TblGabungan[[#This Row],[Kode Barang]]="","",VLOOKUP(TblGabungan[[#This Row],[Kode Barang]],TblStokAkhir[#All],5,0))</f>
        <v>#VALUE!</v>
      </c>
      <c r="N154" t="e">
        <f>IF(TblGabungan[[#This Row],[Kode Barang]]="","",VLOOKUP(TblGabungan[[#This Row],[Kode Barang]],TblStokAkhir[#All],7,0))</f>
        <v>#VALUE!</v>
      </c>
      <c r="O154" t="e">
        <f>IF(TblGabungan[[#This Row],[Kode Barang]]="","",VLOOKUP(TblGabungan[[#This Row],[Kode Barang]],TblStokAkhir[#All],8,0))</f>
        <v>#VALUE!</v>
      </c>
    </row>
    <row r="155" spans="6:15" x14ac:dyDescent="0.3">
      <c r="F155" t="e">
        <f>Table_Barang[[#This Row],[Kode Barang]]</f>
        <v>#VALUE!</v>
      </c>
      <c r="G155" t="e">
        <f>IF(TblGabungan[[#This Row],[Kode Barang]]="","",VLOOKUP(TblGabungan[[#This Row],[Kode Barang]],Table_Barang[#All],2,0))</f>
        <v>#VALUE!</v>
      </c>
      <c r="H155" t="e">
        <f>VLOOKUP(TblGabungan[[#This Row],[Kode Barang]],Table_Barang[#All],4,0)</f>
        <v>#VALUE!</v>
      </c>
      <c r="I155" s="9" t="e">
        <f>IF(TblGabungan[[#This Row],[Kode Barang]]="","",VLOOKUP(TblGabungan[[#This Row],[Kode Barang]],Table_Barang[#All],5,0))</f>
        <v>#VALUE!</v>
      </c>
      <c r="J155" t="e">
        <f>IF(TblGabungan[[#This Row],[Kode Barang]]="","",VLOOKUP(TblGabungan[[#This Row],[Kode Barang]],TblStokAkhir[#All],3,0))</f>
        <v>#VALUE!</v>
      </c>
      <c r="K155" t="e">
        <f>IF(TblGabungan[[#This Row],[Kode Barang]]="","",VLOOKUP(TblGabungan[[#This Row],[Kode Barang]],TblStokAkhir[#All],4,0))</f>
        <v>#VALUE!</v>
      </c>
      <c r="L155" t="e">
        <f>IF(TblGabungan[[#This Row],[Kode Barang]]="","",VLOOKUP(TblGabungan[[#This Row],[Kode Barang]],TblStokAkhir[#All],5,0))</f>
        <v>#VALUE!</v>
      </c>
      <c r="M155" t="e">
        <f>IF(TblGabungan[[#This Row],[Kode Barang]]="","",VLOOKUP(TblGabungan[[#This Row],[Kode Barang]],TblStokAkhir[#All],5,0))</f>
        <v>#VALUE!</v>
      </c>
      <c r="N155" t="e">
        <f>IF(TblGabungan[[#This Row],[Kode Barang]]="","",VLOOKUP(TblGabungan[[#This Row],[Kode Barang]],TblStokAkhir[#All],7,0))</f>
        <v>#VALUE!</v>
      </c>
      <c r="O155" t="e">
        <f>IF(TblGabungan[[#This Row],[Kode Barang]]="","",VLOOKUP(TblGabungan[[#This Row],[Kode Barang]],TblStokAkhir[#All],8,0))</f>
        <v>#VALUE!</v>
      </c>
    </row>
    <row r="156" spans="6:15" x14ac:dyDescent="0.3">
      <c r="F156" t="e">
        <f>Table_Barang[[#This Row],[Kode Barang]]</f>
        <v>#VALUE!</v>
      </c>
      <c r="G156" t="e">
        <f>IF(TblGabungan[[#This Row],[Kode Barang]]="","",VLOOKUP(TblGabungan[[#This Row],[Kode Barang]],Table_Barang[#All],2,0))</f>
        <v>#VALUE!</v>
      </c>
      <c r="H156" t="e">
        <f>VLOOKUP(TblGabungan[[#This Row],[Kode Barang]],Table_Barang[#All],4,0)</f>
        <v>#VALUE!</v>
      </c>
      <c r="I156" s="9" t="e">
        <f>IF(TblGabungan[[#This Row],[Kode Barang]]="","",VLOOKUP(TblGabungan[[#This Row],[Kode Barang]],Table_Barang[#All],5,0))</f>
        <v>#VALUE!</v>
      </c>
      <c r="J156" t="e">
        <f>IF(TblGabungan[[#This Row],[Kode Barang]]="","",VLOOKUP(TblGabungan[[#This Row],[Kode Barang]],TblStokAkhir[#All],3,0))</f>
        <v>#VALUE!</v>
      </c>
      <c r="K156" t="e">
        <f>IF(TblGabungan[[#This Row],[Kode Barang]]="","",VLOOKUP(TblGabungan[[#This Row],[Kode Barang]],TblStokAkhir[#All],4,0))</f>
        <v>#VALUE!</v>
      </c>
      <c r="L156" t="e">
        <f>IF(TblGabungan[[#This Row],[Kode Barang]]="","",VLOOKUP(TblGabungan[[#This Row],[Kode Barang]],TblStokAkhir[#All],5,0))</f>
        <v>#VALUE!</v>
      </c>
      <c r="M156" t="e">
        <f>IF(TblGabungan[[#This Row],[Kode Barang]]="","",VLOOKUP(TblGabungan[[#This Row],[Kode Barang]],TblStokAkhir[#All],5,0))</f>
        <v>#VALUE!</v>
      </c>
      <c r="N156" t="e">
        <f>IF(TblGabungan[[#This Row],[Kode Barang]]="","",VLOOKUP(TblGabungan[[#This Row],[Kode Barang]],TblStokAkhir[#All],7,0))</f>
        <v>#VALUE!</v>
      </c>
      <c r="O156" t="e">
        <f>IF(TblGabungan[[#This Row],[Kode Barang]]="","",VLOOKUP(TblGabungan[[#This Row],[Kode Barang]],TblStokAkhir[#All],8,0))</f>
        <v>#VALUE!</v>
      </c>
    </row>
    <row r="157" spans="6:15" x14ac:dyDescent="0.3">
      <c r="F157" t="e">
        <f>Table_Barang[[#This Row],[Kode Barang]]</f>
        <v>#VALUE!</v>
      </c>
      <c r="G157" t="e">
        <f>IF(TblGabungan[[#This Row],[Kode Barang]]="","",VLOOKUP(TblGabungan[[#This Row],[Kode Barang]],Table_Barang[#All],2,0))</f>
        <v>#VALUE!</v>
      </c>
      <c r="H157" t="e">
        <f>VLOOKUP(TblGabungan[[#This Row],[Kode Barang]],Table_Barang[#All],4,0)</f>
        <v>#VALUE!</v>
      </c>
      <c r="I157" s="9" t="e">
        <f>IF(TblGabungan[[#This Row],[Kode Barang]]="","",VLOOKUP(TblGabungan[[#This Row],[Kode Barang]],Table_Barang[#All],5,0))</f>
        <v>#VALUE!</v>
      </c>
      <c r="J157" t="e">
        <f>IF(TblGabungan[[#This Row],[Kode Barang]]="","",VLOOKUP(TblGabungan[[#This Row],[Kode Barang]],TblStokAkhir[#All],3,0))</f>
        <v>#VALUE!</v>
      </c>
      <c r="K157" t="e">
        <f>IF(TblGabungan[[#This Row],[Kode Barang]]="","",VLOOKUP(TblGabungan[[#This Row],[Kode Barang]],TblStokAkhir[#All],4,0))</f>
        <v>#VALUE!</v>
      </c>
      <c r="L157" t="e">
        <f>IF(TblGabungan[[#This Row],[Kode Barang]]="","",VLOOKUP(TblGabungan[[#This Row],[Kode Barang]],TblStokAkhir[#All],5,0))</f>
        <v>#VALUE!</v>
      </c>
      <c r="M157" t="e">
        <f>IF(TblGabungan[[#This Row],[Kode Barang]]="","",VLOOKUP(TblGabungan[[#This Row],[Kode Barang]],TblStokAkhir[#All],5,0))</f>
        <v>#VALUE!</v>
      </c>
      <c r="N157" t="e">
        <f>IF(TblGabungan[[#This Row],[Kode Barang]]="","",VLOOKUP(TblGabungan[[#This Row],[Kode Barang]],TblStokAkhir[#All],7,0))</f>
        <v>#VALUE!</v>
      </c>
      <c r="O157" t="e">
        <f>IF(TblGabungan[[#This Row],[Kode Barang]]="","",VLOOKUP(TblGabungan[[#This Row],[Kode Barang]],TblStokAkhir[#All],8,0))</f>
        <v>#VALUE!</v>
      </c>
    </row>
    <row r="158" spans="6:15" x14ac:dyDescent="0.3">
      <c r="F158" t="e">
        <f>Table_Barang[[#This Row],[Kode Barang]]</f>
        <v>#VALUE!</v>
      </c>
      <c r="G158" t="e">
        <f>IF(TblGabungan[[#This Row],[Kode Barang]]="","",VLOOKUP(TblGabungan[[#This Row],[Kode Barang]],Table_Barang[#All],2,0))</f>
        <v>#VALUE!</v>
      </c>
      <c r="H158" t="e">
        <f>VLOOKUP(TblGabungan[[#This Row],[Kode Barang]],Table_Barang[#All],4,0)</f>
        <v>#VALUE!</v>
      </c>
      <c r="I158" s="9" t="e">
        <f>IF(TblGabungan[[#This Row],[Kode Barang]]="","",VLOOKUP(TblGabungan[[#This Row],[Kode Barang]],Table_Barang[#All],5,0))</f>
        <v>#VALUE!</v>
      </c>
      <c r="J158" t="e">
        <f>IF(TblGabungan[[#This Row],[Kode Barang]]="","",VLOOKUP(TblGabungan[[#This Row],[Kode Barang]],TblStokAkhir[#All],3,0))</f>
        <v>#VALUE!</v>
      </c>
      <c r="K158" t="e">
        <f>IF(TblGabungan[[#This Row],[Kode Barang]]="","",VLOOKUP(TblGabungan[[#This Row],[Kode Barang]],TblStokAkhir[#All],4,0))</f>
        <v>#VALUE!</v>
      </c>
      <c r="L158" t="e">
        <f>IF(TblGabungan[[#This Row],[Kode Barang]]="","",VLOOKUP(TblGabungan[[#This Row],[Kode Barang]],TblStokAkhir[#All],5,0))</f>
        <v>#VALUE!</v>
      </c>
      <c r="M158" t="e">
        <f>IF(TblGabungan[[#This Row],[Kode Barang]]="","",VLOOKUP(TblGabungan[[#This Row],[Kode Barang]],TblStokAkhir[#All],5,0))</f>
        <v>#VALUE!</v>
      </c>
      <c r="N158" t="e">
        <f>IF(TblGabungan[[#This Row],[Kode Barang]]="","",VLOOKUP(TblGabungan[[#This Row],[Kode Barang]],TblStokAkhir[#All],7,0))</f>
        <v>#VALUE!</v>
      </c>
      <c r="O158" t="e">
        <f>IF(TblGabungan[[#This Row],[Kode Barang]]="","",VLOOKUP(TblGabungan[[#This Row],[Kode Barang]],TblStokAkhir[#All],8,0))</f>
        <v>#VALUE!</v>
      </c>
    </row>
    <row r="159" spans="6:15" x14ac:dyDescent="0.3">
      <c r="F159" t="e">
        <f>Table_Barang[[#This Row],[Kode Barang]]</f>
        <v>#VALUE!</v>
      </c>
      <c r="G159" t="e">
        <f>IF(TblGabungan[[#This Row],[Kode Barang]]="","",VLOOKUP(TblGabungan[[#This Row],[Kode Barang]],Table_Barang[#All],2,0))</f>
        <v>#VALUE!</v>
      </c>
      <c r="H159" t="e">
        <f>VLOOKUP(TblGabungan[[#This Row],[Kode Barang]],Table_Barang[#All],4,0)</f>
        <v>#VALUE!</v>
      </c>
      <c r="I159" s="9" t="e">
        <f>IF(TblGabungan[[#This Row],[Kode Barang]]="","",VLOOKUP(TblGabungan[[#This Row],[Kode Barang]],Table_Barang[#All],5,0))</f>
        <v>#VALUE!</v>
      </c>
      <c r="J159" t="e">
        <f>IF(TblGabungan[[#This Row],[Kode Barang]]="","",VLOOKUP(TblGabungan[[#This Row],[Kode Barang]],TblStokAkhir[#All],3,0))</f>
        <v>#VALUE!</v>
      </c>
      <c r="K159" t="e">
        <f>IF(TblGabungan[[#This Row],[Kode Barang]]="","",VLOOKUP(TblGabungan[[#This Row],[Kode Barang]],TblStokAkhir[#All],4,0))</f>
        <v>#VALUE!</v>
      </c>
      <c r="L159" t="e">
        <f>IF(TblGabungan[[#This Row],[Kode Barang]]="","",VLOOKUP(TblGabungan[[#This Row],[Kode Barang]],TblStokAkhir[#All],5,0))</f>
        <v>#VALUE!</v>
      </c>
      <c r="M159" t="e">
        <f>IF(TblGabungan[[#This Row],[Kode Barang]]="","",VLOOKUP(TblGabungan[[#This Row],[Kode Barang]],TblStokAkhir[#All],5,0))</f>
        <v>#VALUE!</v>
      </c>
      <c r="N159" t="e">
        <f>IF(TblGabungan[[#This Row],[Kode Barang]]="","",VLOOKUP(TblGabungan[[#This Row],[Kode Barang]],TblStokAkhir[#All],7,0))</f>
        <v>#VALUE!</v>
      </c>
      <c r="O159" t="e">
        <f>IF(TblGabungan[[#This Row],[Kode Barang]]="","",VLOOKUP(TblGabungan[[#This Row],[Kode Barang]],TblStokAkhir[#All],8,0))</f>
        <v>#VALUE!</v>
      </c>
    </row>
    <row r="160" spans="6:15" x14ac:dyDescent="0.3">
      <c r="F160" t="e">
        <f>Table_Barang[[#This Row],[Kode Barang]]</f>
        <v>#VALUE!</v>
      </c>
      <c r="G160" t="e">
        <f>IF(TblGabungan[[#This Row],[Kode Barang]]="","",VLOOKUP(TblGabungan[[#This Row],[Kode Barang]],Table_Barang[#All],2,0))</f>
        <v>#VALUE!</v>
      </c>
      <c r="H160" t="e">
        <f>VLOOKUP(TblGabungan[[#This Row],[Kode Barang]],Table_Barang[#All],4,0)</f>
        <v>#VALUE!</v>
      </c>
      <c r="I160" s="9" t="e">
        <f>IF(TblGabungan[[#This Row],[Kode Barang]]="","",VLOOKUP(TblGabungan[[#This Row],[Kode Barang]],Table_Barang[#All],5,0))</f>
        <v>#VALUE!</v>
      </c>
      <c r="J160" t="e">
        <f>IF(TblGabungan[[#This Row],[Kode Barang]]="","",VLOOKUP(TblGabungan[[#This Row],[Kode Barang]],TblStokAkhir[#All],3,0))</f>
        <v>#VALUE!</v>
      </c>
      <c r="K160" t="e">
        <f>IF(TblGabungan[[#This Row],[Kode Barang]]="","",VLOOKUP(TblGabungan[[#This Row],[Kode Barang]],TblStokAkhir[#All],4,0))</f>
        <v>#VALUE!</v>
      </c>
      <c r="L160" t="e">
        <f>IF(TblGabungan[[#This Row],[Kode Barang]]="","",VLOOKUP(TblGabungan[[#This Row],[Kode Barang]],TblStokAkhir[#All],5,0))</f>
        <v>#VALUE!</v>
      </c>
      <c r="M160" t="e">
        <f>IF(TblGabungan[[#This Row],[Kode Barang]]="","",VLOOKUP(TblGabungan[[#This Row],[Kode Barang]],TblStokAkhir[#All],5,0))</f>
        <v>#VALUE!</v>
      </c>
      <c r="N160" t="e">
        <f>IF(TblGabungan[[#This Row],[Kode Barang]]="","",VLOOKUP(TblGabungan[[#This Row],[Kode Barang]],TblStokAkhir[#All],7,0))</f>
        <v>#VALUE!</v>
      </c>
      <c r="O160" t="e">
        <f>IF(TblGabungan[[#This Row],[Kode Barang]]="","",VLOOKUP(TblGabungan[[#This Row],[Kode Barang]],TblStokAkhir[#All],8,0))</f>
        <v>#VALUE!</v>
      </c>
    </row>
    <row r="161" spans="6:15" x14ac:dyDescent="0.3">
      <c r="F161" t="e">
        <f>Table_Barang[[#This Row],[Kode Barang]]</f>
        <v>#VALUE!</v>
      </c>
      <c r="G161" t="e">
        <f>IF(TblGabungan[[#This Row],[Kode Barang]]="","",VLOOKUP(TblGabungan[[#This Row],[Kode Barang]],Table_Barang[#All],2,0))</f>
        <v>#VALUE!</v>
      </c>
      <c r="H161" t="e">
        <f>VLOOKUP(TblGabungan[[#This Row],[Kode Barang]],Table_Barang[#All],4,0)</f>
        <v>#VALUE!</v>
      </c>
      <c r="I161" s="9" t="e">
        <f>IF(TblGabungan[[#This Row],[Kode Barang]]="","",VLOOKUP(TblGabungan[[#This Row],[Kode Barang]],Table_Barang[#All],5,0))</f>
        <v>#VALUE!</v>
      </c>
      <c r="J161" t="e">
        <f>IF(TblGabungan[[#This Row],[Kode Barang]]="","",VLOOKUP(TblGabungan[[#This Row],[Kode Barang]],TblStokAkhir[#All],3,0))</f>
        <v>#VALUE!</v>
      </c>
      <c r="K161" t="e">
        <f>IF(TblGabungan[[#This Row],[Kode Barang]]="","",VLOOKUP(TblGabungan[[#This Row],[Kode Barang]],TblStokAkhir[#All],4,0))</f>
        <v>#VALUE!</v>
      </c>
      <c r="L161" t="e">
        <f>IF(TblGabungan[[#This Row],[Kode Barang]]="","",VLOOKUP(TblGabungan[[#This Row],[Kode Barang]],TblStokAkhir[#All],5,0))</f>
        <v>#VALUE!</v>
      </c>
      <c r="M161" t="e">
        <f>IF(TblGabungan[[#This Row],[Kode Barang]]="","",VLOOKUP(TblGabungan[[#This Row],[Kode Barang]],TblStokAkhir[#All],5,0))</f>
        <v>#VALUE!</v>
      </c>
      <c r="N161" t="e">
        <f>IF(TblGabungan[[#This Row],[Kode Barang]]="","",VLOOKUP(TblGabungan[[#This Row],[Kode Barang]],TblStokAkhir[#All],7,0))</f>
        <v>#VALUE!</v>
      </c>
      <c r="O161" t="e">
        <f>IF(TblGabungan[[#This Row],[Kode Barang]]="","",VLOOKUP(TblGabungan[[#This Row],[Kode Barang]],TblStokAkhir[#All],8,0))</f>
        <v>#VALUE!</v>
      </c>
    </row>
    <row r="162" spans="6:15" x14ac:dyDescent="0.3">
      <c r="F162" t="e">
        <f>Table_Barang[[#This Row],[Kode Barang]]</f>
        <v>#VALUE!</v>
      </c>
      <c r="G162" t="e">
        <f>IF(TblGabungan[[#This Row],[Kode Barang]]="","",VLOOKUP(TblGabungan[[#This Row],[Kode Barang]],Table_Barang[#All],2,0))</f>
        <v>#VALUE!</v>
      </c>
      <c r="H162" t="e">
        <f>VLOOKUP(TblGabungan[[#This Row],[Kode Barang]],Table_Barang[#All],4,0)</f>
        <v>#VALUE!</v>
      </c>
      <c r="I162" s="9" t="e">
        <f>IF(TblGabungan[[#This Row],[Kode Barang]]="","",VLOOKUP(TblGabungan[[#This Row],[Kode Barang]],Table_Barang[#All],5,0))</f>
        <v>#VALUE!</v>
      </c>
      <c r="J162" t="e">
        <f>IF(TblGabungan[[#This Row],[Kode Barang]]="","",VLOOKUP(TblGabungan[[#This Row],[Kode Barang]],TblStokAkhir[#All],3,0))</f>
        <v>#VALUE!</v>
      </c>
      <c r="K162" t="e">
        <f>IF(TblGabungan[[#This Row],[Kode Barang]]="","",VLOOKUP(TblGabungan[[#This Row],[Kode Barang]],TblStokAkhir[#All],4,0))</f>
        <v>#VALUE!</v>
      </c>
      <c r="L162" t="e">
        <f>IF(TblGabungan[[#This Row],[Kode Barang]]="","",VLOOKUP(TblGabungan[[#This Row],[Kode Barang]],TblStokAkhir[#All],5,0))</f>
        <v>#VALUE!</v>
      </c>
      <c r="M162" t="e">
        <f>IF(TblGabungan[[#This Row],[Kode Barang]]="","",VLOOKUP(TblGabungan[[#This Row],[Kode Barang]],TblStokAkhir[#All],5,0))</f>
        <v>#VALUE!</v>
      </c>
      <c r="N162" t="e">
        <f>IF(TblGabungan[[#This Row],[Kode Barang]]="","",VLOOKUP(TblGabungan[[#This Row],[Kode Barang]],TblStokAkhir[#All],7,0))</f>
        <v>#VALUE!</v>
      </c>
      <c r="O162" t="e">
        <f>IF(TblGabungan[[#This Row],[Kode Barang]]="","",VLOOKUP(TblGabungan[[#This Row],[Kode Barang]],TblStokAkhir[#All],8,0))</f>
        <v>#VALUE!</v>
      </c>
    </row>
    <row r="163" spans="6:15" x14ac:dyDescent="0.3">
      <c r="F163" t="e">
        <f>Table_Barang[[#This Row],[Kode Barang]]</f>
        <v>#VALUE!</v>
      </c>
      <c r="G163" t="e">
        <f>IF(TblGabungan[[#This Row],[Kode Barang]]="","",VLOOKUP(TblGabungan[[#This Row],[Kode Barang]],Table_Barang[#All],2,0))</f>
        <v>#VALUE!</v>
      </c>
      <c r="H163" t="e">
        <f>VLOOKUP(TblGabungan[[#This Row],[Kode Barang]],Table_Barang[#All],4,0)</f>
        <v>#VALUE!</v>
      </c>
      <c r="I163" s="9" t="e">
        <f>IF(TblGabungan[[#This Row],[Kode Barang]]="","",VLOOKUP(TblGabungan[[#This Row],[Kode Barang]],Table_Barang[#All],5,0))</f>
        <v>#VALUE!</v>
      </c>
      <c r="J163" t="e">
        <f>IF(TblGabungan[[#This Row],[Kode Barang]]="","",VLOOKUP(TblGabungan[[#This Row],[Kode Barang]],TblStokAkhir[#All],3,0))</f>
        <v>#VALUE!</v>
      </c>
      <c r="K163" t="e">
        <f>IF(TblGabungan[[#This Row],[Kode Barang]]="","",VLOOKUP(TblGabungan[[#This Row],[Kode Barang]],TblStokAkhir[#All],4,0))</f>
        <v>#VALUE!</v>
      </c>
      <c r="L163" t="e">
        <f>IF(TblGabungan[[#This Row],[Kode Barang]]="","",VLOOKUP(TblGabungan[[#This Row],[Kode Barang]],TblStokAkhir[#All],5,0))</f>
        <v>#VALUE!</v>
      </c>
      <c r="M163" t="e">
        <f>IF(TblGabungan[[#This Row],[Kode Barang]]="","",VLOOKUP(TblGabungan[[#This Row],[Kode Barang]],TblStokAkhir[#All],5,0))</f>
        <v>#VALUE!</v>
      </c>
      <c r="N163" t="e">
        <f>IF(TblGabungan[[#This Row],[Kode Barang]]="","",VLOOKUP(TblGabungan[[#This Row],[Kode Barang]],TblStokAkhir[#All],7,0))</f>
        <v>#VALUE!</v>
      </c>
      <c r="O163" t="e">
        <f>IF(TblGabungan[[#This Row],[Kode Barang]]="","",VLOOKUP(TblGabungan[[#This Row],[Kode Barang]],TblStokAkhir[#All],8,0))</f>
        <v>#VALUE!</v>
      </c>
    </row>
    <row r="164" spans="6:15" x14ac:dyDescent="0.3">
      <c r="F164" t="e">
        <f>Table_Barang[[#This Row],[Kode Barang]]</f>
        <v>#VALUE!</v>
      </c>
      <c r="G164" t="e">
        <f>IF(TblGabungan[[#This Row],[Kode Barang]]="","",VLOOKUP(TblGabungan[[#This Row],[Kode Barang]],Table_Barang[#All],2,0))</f>
        <v>#VALUE!</v>
      </c>
      <c r="H164" t="e">
        <f>VLOOKUP(TblGabungan[[#This Row],[Kode Barang]],Table_Barang[#All],4,0)</f>
        <v>#VALUE!</v>
      </c>
      <c r="I164" s="9" t="e">
        <f>IF(TblGabungan[[#This Row],[Kode Barang]]="","",VLOOKUP(TblGabungan[[#This Row],[Kode Barang]],Table_Barang[#All],5,0))</f>
        <v>#VALUE!</v>
      </c>
      <c r="J164" t="e">
        <f>IF(TblGabungan[[#This Row],[Kode Barang]]="","",VLOOKUP(TblGabungan[[#This Row],[Kode Barang]],TblStokAkhir[#All],3,0))</f>
        <v>#VALUE!</v>
      </c>
      <c r="K164" t="e">
        <f>IF(TblGabungan[[#This Row],[Kode Barang]]="","",VLOOKUP(TblGabungan[[#This Row],[Kode Barang]],TblStokAkhir[#All],4,0))</f>
        <v>#VALUE!</v>
      </c>
      <c r="L164" t="e">
        <f>IF(TblGabungan[[#This Row],[Kode Barang]]="","",VLOOKUP(TblGabungan[[#This Row],[Kode Barang]],TblStokAkhir[#All],5,0))</f>
        <v>#VALUE!</v>
      </c>
      <c r="M164" t="e">
        <f>IF(TblGabungan[[#This Row],[Kode Barang]]="","",VLOOKUP(TblGabungan[[#This Row],[Kode Barang]],TblStokAkhir[#All],5,0))</f>
        <v>#VALUE!</v>
      </c>
      <c r="N164" t="e">
        <f>IF(TblGabungan[[#This Row],[Kode Barang]]="","",VLOOKUP(TblGabungan[[#This Row],[Kode Barang]],TblStokAkhir[#All],7,0))</f>
        <v>#VALUE!</v>
      </c>
      <c r="O164" t="e">
        <f>IF(TblGabungan[[#This Row],[Kode Barang]]="","",VLOOKUP(TblGabungan[[#This Row],[Kode Barang]],TblStokAkhir[#All],8,0))</f>
        <v>#VALUE!</v>
      </c>
    </row>
    <row r="165" spans="6:15" x14ac:dyDescent="0.3">
      <c r="F165" t="e">
        <f>Table_Barang[[#This Row],[Kode Barang]]</f>
        <v>#VALUE!</v>
      </c>
      <c r="G165" t="e">
        <f>IF(TblGabungan[[#This Row],[Kode Barang]]="","",VLOOKUP(TblGabungan[[#This Row],[Kode Barang]],Table_Barang[#All],2,0))</f>
        <v>#VALUE!</v>
      </c>
      <c r="H165" t="e">
        <f>VLOOKUP(TblGabungan[[#This Row],[Kode Barang]],Table_Barang[#All],4,0)</f>
        <v>#VALUE!</v>
      </c>
      <c r="I165" s="9" t="e">
        <f>IF(TblGabungan[[#This Row],[Kode Barang]]="","",VLOOKUP(TblGabungan[[#This Row],[Kode Barang]],Table_Barang[#All],5,0))</f>
        <v>#VALUE!</v>
      </c>
      <c r="J165" t="e">
        <f>IF(TblGabungan[[#This Row],[Kode Barang]]="","",VLOOKUP(TblGabungan[[#This Row],[Kode Barang]],TblStokAkhir[#All],3,0))</f>
        <v>#VALUE!</v>
      </c>
      <c r="K165" t="e">
        <f>IF(TblGabungan[[#This Row],[Kode Barang]]="","",VLOOKUP(TblGabungan[[#This Row],[Kode Barang]],TblStokAkhir[#All],4,0))</f>
        <v>#VALUE!</v>
      </c>
      <c r="L165" t="e">
        <f>IF(TblGabungan[[#This Row],[Kode Barang]]="","",VLOOKUP(TblGabungan[[#This Row],[Kode Barang]],TblStokAkhir[#All],5,0))</f>
        <v>#VALUE!</v>
      </c>
      <c r="M165" t="e">
        <f>IF(TblGabungan[[#This Row],[Kode Barang]]="","",VLOOKUP(TblGabungan[[#This Row],[Kode Barang]],TblStokAkhir[#All],5,0))</f>
        <v>#VALUE!</v>
      </c>
      <c r="N165" t="e">
        <f>IF(TblGabungan[[#This Row],[Kode Barang]]="","",VLOOKUP(TblGabungan[[#This Row],[Kode Barang]],TblStokAkhir[#All],7,0))</f>
        <v>#VALUE!</v>
      </c>
      <c r="O165" t="e">
        <f>IF(TblGabungan[[#This Row],[Kode Barang]]="","",VLOOKUP(TblGabungan[[#This Row],[Kode Barang]],TblStokAkhir[#All],8,0))</f>
        <v>#VALUE!</v>
      </c>
    </row>
    <row r="166" spans="6:15" x14ac:dyDescent="0.3">
      <c r="F166" t="e">
        <f>Table_Barang[[#This Row],[Kode Barang]]</f>
        <v>#VALUE!</v>
      </c>
      <c r="G166" t="e">
        <f>IF(TblGabungan[[#This Row],[Kode Barang]]="","",VLOOKUP(TblGabungan[[#This Row],[Kode Barang]],Table_Barang[#All],2,0))</f>
        <v>#VALUE!</v>
      </c>
      <c r="H166" t="e">
        <f>VLOOKUP(TblGabungan[[#This Row],[Kode Barang]],Table_Barang[#All],4,0)</f>
        <v>#VALUE!</v>
      </c>
      <c r="I166" s="9" t="e">
        <f>IF(TblGabungan[[#This Row],[Kode Barang]]="","",VLOOKUP(TblGabungan[[#This Row],[Kode Barang]],Table_Barang[#All],5,0))</f>
        <v>#VALUE!</v>
      </c>
      <c r="J166" t="e">
        <f>IF(TblGabungan[[#This Row],[Kode Barang]]="","",VLOOKUP(TblGabungan[[#This Row],[Kode Barang]],TblStokAkhir[#All],3,0))</f>
        <v>#VALUE!</v>
      </c>
      <c r="K166" t="e">
        <f>IF(TblGabungan[[#This Row],[Kode Barang]]="","",VLOOKUP(TblGabungan[[#This Row],[Kode Barang]],TblStokAkhir[#All],4,0))</f>
        <v>#VALUE!</v>
      </c>
      <c r="L166" t="e">
        <f>IF(TblGabungan[[#This Row],[Kode Barang]]="","",VLOOKUP(TblGabungan[[#This Row],[Kode Barang]],TblStokAkhir[#All],5,0))</f>
        <v>#VALUE!</v>
      </c>
      <c r="M166" t="e">
        <f>IF(TblGabungan[[#This Row],[Kode Barang]]="","",VLOOKUP(TblGabungan[[#This Row],[Kode Barang]],TblStokAkhir[#All],5,0))</f>
        <v>#VALUE!</v>
      </c>
      <c r="N166" t="e">
        <f>IF(TblGabungan[[#This Row],[Kode Barang]]="","",VLOOKUP(TblGabungan[[#This Row],[Kode Barang]],TblStokAkhir[#All],7,0))</f>
        <v>#VALUE!</v>
      </c>
      <c r="O166" t="e">
        <f>IF(TblGabungan[[#This Row],[Kode Barang]]="","",VLOOKUP(TblGabungan[[#This Row],[Kode Barang]],TblStokAkhir[#All],8,0))</f>
        <v>#VALUE!</v>
      </c>
    </row>
    <row r="167" spans="6:15" x14ac:dyDescent="0.3">
      <c r="F167" t="e">
        <f>Table_Barang[[#This Row],[Kode Barang]]</f>
        <v>#VALUE!</v>
      </c>
      <c r="G167" t="e">
        <f>IF(TblGabungan[[#This Row],[Kode Barang]]="","",VLOOKUP(TblGabungan[[#This Row],[Kode Barang]],Table_Barang[#All],2,0))</f>
        <v>#VALUE!</v>
      </c>
      <c r="H167" t="e">
        <f>VLOOKUP(TblGabungan[[#This Row],[Kode Barang]],Table_Barang[#All],4,0)</f>
        <v>#VALUE!</v>
      </c>
      <c r="I167" s="9" t="e">
        <f>IF(TblGabungan[[#This Row],[Kode Barang]]="","",VLOOKUP(TblGabungan[[#This Row],[Kode Barang]],Table_Barang[#All],5,0))</f>
        <v>#VALUE!</v>
      </c>
      <c r="J167" t="e">
        <f>IF(TblGabungan[[#This Row],[Kode Barang]]="","",VLOOKUP(TblGabungan[[#This Row],[Kode Barang]],TblStokAkhir[#All],3,0))</f>
        <v>#VALUE!</v>
      </c>
      <c r="K167" t="e">
        <f>IF(TblGabungan[[#This Row],[Kode Barang]]="","",VLOOKUP(TblGabungan[[#This Row],[Kode Barang]],TblStokAkhir[#All],4,0))</f>
        <v>#VALUE!</v>
      </c>
      <c r="L167" t="e">
        <f>IF(TblGabungan[[#This Row],[Kode Barang]]="","",VLOOKUP(TblGabungan[[#This Row],[Kode Barang]],TblStokAkhir[#All],5,0))</f>
        <v>#VALUE!</v>
      </c>
      <c r="M167" t="e">
        <f>IF(TblGabungan[[#This Row],[Kode Barang]]="","",VLOOKUP(TblGabungan[[#This Row],[Kode Barang]],TblStokAkhir[#All],5,0))</f>
        <v>#VALUE!</v>
      </c>
      <c r="N167" t="e">
        <f>IF(TblGabungan[[#This Row],[Kode Barang]]="","",VLOOKUP(TblGabungan[[#This Row],[Kode Barang]],TblStokAkhir[#All],7,0))</f>
        <v>#VALUE!</v>
      </c>
      <c r="O167" t="e">
        <f>IF(TblGabungan[[#This Row],[Kode Barang]]="","",VLOOKUP(TblGabungan[[#This Row],[Kode Barang]],TblStokAkhir[#All],8,0))</f>
        <v>#VALUE!</v>
      </c>
    </row>
    <row r="168" spans="6:15" x14ac:dyDescent="0.3">
      <c r="F168" t="e">
        <f>Table_Barang[[#This Row],[Kode Barang]]</f>
        <v>#VALUE!</v>
      </c>
      <c r="G168" t="e">
        <f>IF(TblGabungan[[#This Row],[Kode Barang]]="","",VLOOKUP(TblGabungan[[#This Row],[Kode Barang]],Table_Barang[#All],2,0))</f>
        <v>#VALUE!</v>
      </c>
      <c r="H168" t="e">
        <f>VLOOKUP(TblGabungan[[#This Row],[Kode Barang]],Table_Barang[#All],4,0)</f>
        <v>#VALUE!</v>
      </c>
      <c r="I168" s="9" t="e">
        <f>IF(TblGabungan[[#This Row],[Kode Barang]]="","",VLOOKUP(TblGabungan[[#This Row],[Kode Barang]],Table_Barang[#All],5,0))</f>
        <v>#VALUE!</v>
      </c>
      <c r="J168" t="e">
        <f>IF(TblGabungan[[#This Row],[Kode Barang]]="","",VLOOKUP(TblGabungan[[#This Row],[Kode Barang]],TblStokAkhir[#All],3,0))</f>
        <v>#VALUE!</v>
      </c>
      <c r="K168" t="e">
        <f>IF(TblGabungan[[#This Row],[Kode Barang]]="","",VLOOKUP(TblGabungan[[#This Row],[Kode Barang]],TblStokAkhir[#All],4,0))</f>
        <v>#VALUE!</v>
      </c>
      <c r="L168" t="e">
        <f>IF(TblGabungan[[#This Row],[Kode Barang]]="","",VLOOKUP(TblGabungan[[#This Row],[Kode Barang]],TblStokAkhir[#All],5,0))</f>
        <v>#VALUE!</v>
      </c>
      <c r="M168" t="e">
        <f>IF(TblGabungan[[#This Row],[Kode Barang]]="","",VLOOKUP(TblGabungan[[#This Row],[Kode Barang]],TblStokAkhir[#All],5,0))</f>
        <v>#VALUE!</v>
      </c>
      <c r="N168" t="e">
        <f>IF(TblGabungan[[#This Row],[Kode Barang]]="","",VLOOKUP(TblGabungan[[#This Row],[Kode Barang]],TblStokAkhir[#All],7,0))</f>
        <v>#VALUE!</v>
      </c>
      <c r="O168" t="e">
        <f>IF(TblGabungan[[#This Row],[Kode Barang]]="","",VLOOKUP(TblGabungan[[#This Row],[Kode Barang]],TblStokAkhir[#All],8,0))</f>
        <v>#VALUE!</v>
      </c>
    </row>
    <row r="169" spans="6:15" x14ac:dyDescent="0.3">
      <c r="F169" t="e">
        <f>Table_Barang[[#This Row],[Kode Barang]]</f>
        <v>#VALUE!</v>
      </c>
      <c r="G169" t="e">
        <f>IF(TblGabungan[[#This Row],[Kode Barang]]="","",VLOOKUP(TblGabungan[[#This Row],[Kode Barang]],Table_Barang[#All],2,0))</f>
        <v>#VALUE!</v>
      </c>
      <c r="H169" t="e">
        <f>VLOOKUP(TblGabungan[[#This Row],[Kode Barang]],Table_Barang[#All],4,0)</f>
        <v>#VALUE!</v>
      </c>
      <c r="I169" s="9" t="e">
        <f>IF(TblGabungan[[#This Row],[Kode Barang]]="","",VLOOKUP(TblGabungan[[#This Row],[Kode Barang]],Table_Barang[#All],5,0))</f>
        <v>#VALUE!</v>
      </c>
      <c r="J169" t="e">
        <f>IF(TblGabungan[[#This Row],[Kode Barang]]="","",VLOOKUP(TblGabungan[[#This Row],[Kode Barang]],TblStokAkhir[#All],3,0))</f>
        <v>#VALUE!</v>
      </c>
      <c r="K169" t="e">
        <f>IF(TblGabungan[[#This Row],[Kode Barang]]="","",VLOOKUP(TblGabungan[[#This Row],[Kode Barang]],TblStokAkhir[#All],4,0))</f>
        <v>#VALUE!</v>
      </c>
      <c r="L169" t="e">
        <f>IF(TblGabungan[[#This Row],[Kode Barang]]="","",VLOOKUP(TblGabungan[[#This Row],[Kode Barang]],TblStokAkhir[#All],5,0))</f>
        <v>#VALUE!</v>
      </c>
      <c r="M169" t="e">
        <f>IF(TblGabungan[[#This Row],[Kode Barang]]="","",VLOOKUP(TblGabungan[[#This Row],[Kode Barang]],TblStokAkhir[#All],5,0))</f>
        <v>#VALUE!</v>
      </c>
      <c r="N169" t="e">
        <f>IF(TblGabungan[[#This Row],[Kode Barang]]="","",VLOOKUP(TblGabungan[[#This Row],[Kode Barang]],TblStokAkhir[#All],7,0))</f>
        <v>#VALUE!</v>
      </c>
      <c r="O169" t="e">
        <f>IF(TblGabungan[[#This Row],[Kode Barang]]="","",VLOOKUP(TblGabungan[[#This Row],[Kode Barang]],TblStokAkhir[#All],8,0))</f>
        <v>#VALUE!</v>
      </c>
    </row>
  </sheetData>
  <conditionalFormatting sqref="N1:N10 N118:N1048576 O11:O169">
    <cfRule type="containsText" dxfId="2" priority="2" operator="containsText" text="Habis">
      <formula>NOT(ISERROR(SEARCH("Habis",N1)))</formula>
    </cfRule>
    <cfRule type="containsText" dxfId="1" priority="3" operator="containsText" text="Menipis">
      <formula>NOT(ISERROR(SEARCH("Menipis",N1)))</formula>
    </cfRule>
    <cfRule type="containsText" dxfId="0" priority="4" operator="containsText" text="Aman">
      <formula>NOT(ISERROR(SEARCH("Aman",N1)))</formula>
    </cfRule>
  </conditionalFormatting>
  <conditionalFormatting sqref="D14">
    <cfRule type="dataBar" priority="1">
      <dataBar>
        <cfvo type="min"/>
        <cfvo type="max"/>
        <color rgb="FF008AEF"/>
      </dataBar>
      <extLst>
        <ext xmlns:x14="http://schemas.microsoft.com/office/spreadsheetml/2009/9/main" uri="{B025F937-C7B1-47D3-B67F-A62EFF666E3E}">
          <x14:id>{2DCCF5E6-ADA2-4DB6-9135-433CA2075320}</x14:id>
        </ext>
      </extLst>
    </cfRule>
  </conditionalFormatting>
  <pageMargins left="0.7" right="0.7" top="0.75" bottom="0.75" header="0.3" footer="0.3"/>
  <pageSetup orientation="portrait" r:id="rId4"/>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2DCCF5E6-ADA2-4DB6-9135-433CA2075320}">
            <x14:dataBar minLength="0" maxLength="100" border="1" negativeBarBorderColorSameAsPositive="0">
              <x14:cfvo type="autoMin"/>
              <x14:cfvo type="autoMax"/>
              <x14:borderColor rgb="FF008AEF"/>
              <x14:negativeFillColor rgb="FFFF0000"/>
              <x14:negativeBorderColor rgb="FFFF0000"/>
              <x14:axisColor rgb="FF000000"/>
            </x14:dataBar>
          </x14:cfRule>
          <xm:sqref>D14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 
</file>

<file path=customXml/item5.xml>�� 
</file>

<file path=customXml/item6.xml>�� 
</file>

<file path=customXml/item7.xml>�� 
</file>

<file path=customXml/itemProps1.xml><?xml version="1.0" encoding="utf-8"?>
<ds:datastoreItem xmlns:ds="http://schemas.openxmlformats.org/officeDocument/2006/customXml" ds:itemID="{06E18C68-05EF-4DB2-A928-707E0DCB580F}">
  <ds:schemaRefs/>
</ds:datastoreItem>
</file>

<file path=customXml/itemProps2.xml><?xml version="1.0" encoding="utf-8"?>
<ds:datastoreItem xmlns:ds="http://schemas.openxmlformats.org/officeDocument/2006/customXml" ds:itemID="{94637242-B69A-4216-ABF9-23EC3CC43868}">
  <ds:schemaRefs/>
</ds:datastoreItem>
</file>

<file path=customXml/itemProps3.xml><?xml version="1.0" encoding="utf-8"?>
<ds:datastoreItem xmlns:ds="http://schemas.openxmlformats.org/officeDocument/2006/customXml" ds:itemID="{F1C23F40-E8EC-43C3-85A0-3F5B44569DF3}">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5BEC598A-E446-4122-92E3-E83742457015}">
  <ds:schemaRefs/>
</ds:datastoreItem>
</file>

<file path=customXml/itemProps5.xml><?xml version="1.0" encoding="utf-8"?>
<ds:datastoreItem xmlns:ds="http://schemas.openxmlformats.org/officeDocument/2006/customXml" ds:itemID="{49132E34-DC1D-40E6-9E07-34C68DEDE2AB}">
  <ds:schemaRefs/>
</ds:datastoreItem>
</file>

<file path=customXml/itemProps6.xml><?xml version="1.0" encoding="utf-8"?>
<ds:datastoreItem xmlns:ds="http://schemas.openxmlformats.org/officeDocument/2006/customXml" ds:itemID="{581BC751-7D29-4576-84E3-40EC985FB037}">
  <ds:schemaRefs/>
</ds:datastoreItem>
</file>

<file path=customXml/itemProps7.xml><?xml version="1.0" encoding="utf-8"?>
<ds:datastoreItem xmlns:ds="http://schemas.openxmlformats.org/officeDocument/2006/customXml" ds:itemID="{265BACAF-9DDC-45CE-83C4-D7E4C486F994}">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Home</vt:lpstr>
      <vt:lpstr>Transaksi</vt:lpstr>
      <vt:lpstr>Stok Akhir</vt:lpstr>
      <vt:lpstr>Master Barang</vt:lpstr>
      <vt:lpstr>Search</vt:lpstr>
      <vt:lpstr>Dapur</vt:lpstr>
      <vt:lpstr>Arsip</vt:lpstr>
      <vt:lpstr>ATK</vt:lpstr>
      <vt:lpstr>Elektronik</vt:lpstr>
      <vt:lpstr>Kebersihan</vt:lpstr>
      <vt:lpstr>Lainnya</vt:lpstr>
      <vt:lpstr>Perabotam</vt:lpstr>
      <vt:lpstr>Perabotan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Alvian Alpharomeo</dc:creator>
  <cp:lastModifiedBy>Muhammad Alvian Alpharomeo</cp:lastModifiedBy>
  <dcterms:created xsi:type="dcterms:W3CDTF">2025-11-06T15:22:54Z</dcterms:created>
  <dcterms:modified xsi:type="dcterms:W3CDTF">2025-12-06T03:08:49Z</dcterms:modified>
</cp:coreProperties>
</file>